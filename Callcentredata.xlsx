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C:\Users\rjanv\Downloads\"/>
    </mc:Choice>
  </mc:AlternateContent>
  <xr:revisionPtr revIDLastSave="0" documentId="8_{0419985F-8619-4C9C-B429-4E4F368D39F2}" xr6:coauthVersionLast="47" xr6:coauthVersionMax="47" xr10:uidLastSave="{00000000-0000-0000-0000-000000000000}"/>
  <bookViews>
    <workbookView xWindow="-108" yWindow="-108" windowWidth="23256" windowHeight="13176" xr2:uid="{26D4546B-D2A1-4444-8EAF-A6228F96F0C1}"/>
  </bookViews>
  <sheets>
    <sheet name="Data" sheetId="2" r:id="rId1"/>
    <sheet name="Pivots" sheetId="6" r:id="rId2"/>
    <sheet name="Dashboard" sheetId="5" r:id="rId3"/>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1" r:id="rId4"/>
    <pivotCache cacheId="2" r:id="rId5"/>
    <pivotCache cacheId="107" r:id="rId6"/>
    <pivotCache cacheId="129" r:id="rId7"/>
    <pivotCache cacheId="371" r:id="rId8"/>
    <pivotCache cacheId="374" r:id="rId9"/>
    <pivotCache cacheId="377" r:id="rId10"/>
    <pivotCache cacheId="380" r:id="rId11"/>
    <pivotCache cacheId="383"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7" i="5" l="1" a="1"/>
  <c r="S17" i="5" s="1"/>
  <c r="R18" i="5" a="1"/>
  <c r="R18" i="5" s="1"/>
  <c r="J49" i="6"/>
  <c r="I51" i="6" s="1"/>
  <c r="G52" i="6"/>
  <c r="G53" i="6"/>
  <c r="G54" i="6"/>
  <c r="G55" i="6"/>
  <c r="F52" i="6"/>
  <c r="F53" i="6"/>
  <c r="F54" i="6"/>
  <c r="F55" i="6"/>
  <c r="E52" i="6"/>
  <c r="E53" i="6"/>
  <c r="E54" i="6"/>
  <c r="E55" i="6"/>
  <c r="F51" i="6"/>
  <c r="G51" i="6"/>
  <c r="E51"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51" i="6" l="1"/>
  <c r="H55" i="6"/>
  <c r="H54" i="6"/>
  <c r="H53" i="6"/>
  <c r="H52" i="6"/>
  <c r="I55" i="6"/>
  <c r="I54" i="6"/>
  <c r="I53" i="6"/>
  <c r="I5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F1C35B-64B1-41CB-A72F-F0315256A0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227484-9CA1-4854-9404-F382662FF765}"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A1D46941-A30D-45EC-8D28-46FF02C3282B}"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<sst xmlns="http://schemas.openxmlformats.org/spreadsheetml/2006/main" count="3163" uniqueCount="1078">
  <si>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</si>
  <si>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</si>
  <si>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</si>
  <si>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</si>
  <si>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</si>
  <si>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</si>
  <si>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</si>
  <si>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</si>
  <si>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</si>
  <si>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</si>
  <si>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</si>
  <si>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</si>
  <si>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</si>
  <si>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</si>
  <si>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</si>
  <si>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</si>
  <si>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</si>
  <si>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</si>
  <si>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</si>
  <si>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</si>
  <si>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</si>
  <si>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</si>
  <si>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</si>
  <si>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</si>
  <si>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</si>
  <si>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</si>
  <si>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</si>
  <si>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</si>
  <si>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</si>
  <si>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</si>
  <si>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</si>
  <si>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</si>
  <si>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</si>
  <si>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</si>
  <si>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</si>
  <si>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</si>
  <si>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</si>
  <si>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</si>
  <si>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</si>
  <si>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</si>
  <si>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</si>
  <si>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</si>
  <si>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</si>
  <si>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</si>
  <si>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</si>
  <si>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</si>
  <si>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</si>
  <si>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</si>
  <si>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</si>
  <si>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</si>
  <si>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</si>
  <si>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</si>
  <si>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</si>
  <si>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</si>
  <si>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</si>
  <si>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</si>
  <si>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</si>
  <si>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</si>
  <si>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</si>
  <si>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</si>
  <si>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</si>
  <si>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</si>
  <si>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</si>
  <si>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</si>
  <si>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</si>
  <si>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</si>
  <si>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</si>
  <si>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</si>
  <si>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</si>
  <si>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</si>
  <si>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</si>
  <si>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</si>
  <si>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</si>
  <si>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</si>
  <si>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</si>
  <si>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</si>
  <si>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</si>
  <si>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</si>
  <si>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</si>
  <si>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</si>
  <si>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</si>
  <si>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</si>
  <si>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</si>
  <si>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</si>
  <si>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</si>
  <si>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</si>
  <si>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</si>
  <si>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</si>
  <si>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</si>
  <si>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</si>
  <si>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</si>
  <si>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</si>
  <si>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</si>
  <si>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</si>
  <si>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</si>
  <si>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</si>
  <si>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</si>
  <si>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</si>
  <si>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</si>
  <si>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</si>
  <si>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</si>
  <si>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</si>
  <si>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</si>
  <si>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</si>
  <si>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</si>
  <si>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</si>
  <si>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</si>
  <si>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</si>
  <si>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</si>
  <si>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</si>
  <si>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</si>
  <si>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</si>
  <si>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</si>
  <si>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</si>
  <si>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</si>
  <si>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</si>
  <si>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</si>
  <si>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</si>
  <si>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</si>
  <si>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</si>
  <si>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</si>
  <si>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</si>
  <si>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</si>
  <si>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</si>
  <si>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</si>
  <si>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</si>
  <si>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</si>
  <si>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</si>
  <si>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</si>
  <si>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</si>
  <si>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</si>
  <si>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</si>
  <si>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</si>
  <si>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</si>
  <si>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</si>
  <si>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</si>
  <si>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</si>
  <si>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</si>
  <si>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</si>
  <si>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</si>
  <si>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</si>
  <si>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</si>
  <si>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</si>
  <si>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</si>
  <si>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</si>
  <si>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</si>
  <si>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</si>
  <si>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</si>
  <si>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</si>
  <si>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</si>
  <si>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</si>
  <si>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</si>
  <si>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</si>
  <si>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</si>
  <si>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</si>
  <si>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</si>
  <si>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</si>
  <si>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</si>
  <si>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</si>
  <si>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</si>
  <si>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</si>
  <si>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</si>
  <si>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</si>
  <si>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</si>
  <si>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</si>
  <si>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</si>
  <si>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</si>
  <si>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</si>
  <si>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</si>
  <si>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</si>
  <si>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</si>
  <si>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</si>
  <si>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</si>
  <si>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</si>
  <si>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</si>
  <si>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</si>
  <si>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</si>
  <si>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</si>
  <si>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</si>
  <si>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</si>
  <si>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</si>
  <si>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</si>
  <si>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</si>
  <si>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</si>
  <si>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</si>
  <si>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</si>
  <si>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</si>
  <si>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</si>
  <si>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</si>
  <si>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</si>
  <si>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</si>
  <si>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</si>
  <si>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</si>
  <si>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</si>
  <si>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</si>
  <si>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</si>
  <si>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</si>
  <si>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</si>
  <si>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</si>
  <si>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</si>
  <si>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</si>
  <si>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</si>
  <si>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</si>
  <si>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</si>
  <si>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</si>
  <si>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</si>
  <si>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</si>
  <si>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</si>
  <si>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</si>
  <si>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</si>
  <si>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</si>
  <si>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</si>
  <si>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</si>
  <si>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</si>
  <si>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</si>
  <si>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</si>
  <si>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</si>
  <si>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</si>
  <si>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</si>
  <si>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</si>
  <si>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</si>
  <si>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</si>
  <si>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</si>
  <si>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</si>
  <si>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</si>
  <si>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</si>
  <si>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</si>
  <si>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</si>
  <si>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</si>
  <si>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</si>
  <si>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</si>
  <si>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</si>
  <si>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</si>
  <si>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</si>
  <si>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</si>
  <si>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</si>
  <si>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</si>
  <si>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</si>
  <si>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</si>
  <si>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</si>
  <si>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</si>
  <si>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</si>
  <si>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</si>
  <si>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</si>
  <si>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</si>
  <si>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</si>
  <si>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</si>
  <si>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</si>
  <si>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</si>
  <si>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</si>
  <si>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</si>
  <si>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</si>
  <si>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</si>
  <si>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</si>
  <si>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</si>
  <si>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</si>
  <si>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</si>
  <si>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</si>
  <si>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</si>
  <si>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</si>
  <si>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</si>
  <si>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</si>
  <si>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</si>
  <si>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</si>
  <si>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</si>
  <si>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</si>
  <si>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</si>
  <si>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</si>
  <si>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</si>
  <si>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</si>
  <si>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</si>
  <si>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</si>
  <si>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</si>
  <si>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</si>
  <si>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</si>
  <si>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</si>
  <si>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</si>
  <si>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</si>
  <si>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</si>
  <si>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</si>
  <si>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</si>
  <si>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</si>
  <si>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</si>
  <si>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</si>
  <si>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</si>
  <si>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</si>
  <si>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</si>
  <si>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</si>
  <si>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</si>
  <si>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</si>
  <si>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</si>
  <si>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</si>
  <si>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</si>
  <si>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</si>
  <si>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</si>
  <si>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</si>
  <si>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</si>
  <si>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</si>
  <si>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</si>
  <si>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</si>
  <si>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</si>
  <si>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</si>
  <si>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</si>
  <si>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</si>
  <si>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</si>
  <si>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</si>
  <si>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</si>
  <si>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</si>
  <si>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</si>
  <si>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</si>
  <si>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</si>
  <si>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</si>
  <si>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</si>
  <si>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</si>
  <si>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</si>
  <si>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</si>
  <si>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</si>
  <si>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</si>
  <si>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</si>
  <si>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</si>
  <si>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</si>
  <si>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</si>
  <si>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</si>
  <si>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</si>
  <si>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</si>
  <si>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</si>
  <si>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</si>
  <si>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</si>
  <si>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</si>
  <si>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</si>
  <si>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</si>
  <si>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</si>
  <si>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</si>
  <si>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</si>
  <si>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</si>
  <si>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</si>
  <si>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</si>
  <si>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</si>
  <si>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</si>
  <si>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</si>
  <si>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</si>
  <si>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</si>
  <si>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</si>
  <si>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</si>
  <si>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</si>
  <si>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</si>
  <si>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</si>
  <si>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</si>
  <si>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</si>
  <si>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</si>
  <si>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</si>
  <si>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</si>
  <si>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</si>
  <si>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</si>
  <si>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</si>
  <si>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</si>
  <si>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</si>
  <si>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</si>
  <si>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</si>
  <si>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</si>
  <si>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</si>
  <si>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</si>
  <si>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</si>
  <si>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</si>
  <si>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</si>
  <si>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</si>
  <si>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</si>
  <si>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</si>
  <si>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</si>
  <si>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</si>
  <si>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</si>
  <si>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</si>
  <si>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</si>
  <si>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</si>
  <si>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</si>
  <si>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</si>
  <si>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</si>
  <si>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</si>
  <si>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</si>
  <si>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</si>
  <si>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</si>
  <si>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</si>
  <si>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</si>
  <si>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</si>
  <si>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</si>
  <si>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</si>
  <si>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</si>
  <si>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</si>
  <si>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</si>
  <si>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</si>
  <si>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</si>
  <si>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</si>
  <si>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</si>
  <si>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</si>
  <si>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</si>
  <si>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</si>
  <si>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</si>
  <si>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</si>
  <si>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</si>
  <si>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</si>
  <si>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</si>
  <si>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</si>
  <si>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</si>
  <si>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</si>
  <si>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</si>
  <si>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</si>
  <si>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</si>
  <si>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</si>
  <si>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</si>
  <si>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</si>
  <si>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</si>
  <si>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</si>
  <si>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</si>
  <si>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</si>
  <si>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</si>
  <si>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</si>
  <si>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</si>
  <si>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</si>
  <si>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</si>
  <si>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</si>
  <si>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</si>
  <si>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</si>
  <si>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</si>
  <si>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</si>
  <si>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</si>
  <si>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</si>
  <si>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</si>
  <si>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</si>
  <si>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</si>
  <si>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</si>
  <si>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</si>
  <si>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</si>
  <si>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</si>
  <si>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</si>
  <si>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</si>
  <si>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</si>
  <si>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</si>
  <si>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</si>
  <si>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</si>
  <si>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</si>
  <si>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</si>
  <si>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</si>
  <si>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</si>
  <si>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</si>
  <si>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</si>
  <si>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</si>
  <si>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</si>
  <si>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</si>
  <si>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</si>
  <si>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</si>
  <si>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</si>
  <si>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</si>
  <si>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</si>
  <si>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</si>
  <si>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</si>
  <si>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</si>
  <si>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</si>
  <si>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</si>
  <si>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</si>
  <si>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</si>
  <si>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</si>
  <si>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</si>
  <si>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</si>
  <si>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</si>
  <si>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</si>
  <si>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</si>
  <si>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</si>
  <si>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</si>
  <si>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</si>
  <si>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</si>
  <si>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</si>
  <si>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</si>
  <si>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</si>
  <si>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</si>
  <si>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</si>
  <si>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</si>
  <si>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</si>
  <si>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</si>
  <si>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</si>
  <si>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</si>
  <si>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</si>
  <si>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</si>
  <si>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</si>
  <si>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</si>
  <si>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</si>
  <si>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</si>
  <si>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</si>
  <si>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</si>
  <si>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</si>
  <si>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</si>
  <si>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</si>
  <si>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</si>
  <si>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</si>
  <si>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</si>
  <si>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</si>
  <si>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</si>
  <si>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</si>
  <si>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</si>
  <si>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</si>
  <si>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</si>
  <si>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</si>
  <si>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</si>
  <si>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</si>
  <si>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</si>
  <si>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</si>
  <si>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</si>
  <si>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</si>
  <si>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</si>
  <si>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</si>
  <si>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</si>
  <si>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</si>
  <si>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</si>
  <si>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</si>
  <si>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</si>
  <si>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</si>
  <si>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</si>
  <si>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</si>
  <si>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</si>
  <si>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</si>
  <si>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</si>
  <si>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</si>
  <si>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</si>
  <si>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</si>
  <si>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</si>
  <si>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</si>
  <si>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</si>
  <si>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</si>
  <si>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</si>
  <si>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</si>
  <si>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</si>
  <si>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</si>
  <si>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</si>
  <si>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</si>
  <si>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</si>
  <si>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</si>
  <si>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</si>
  <si>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</si>
  <si>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</si>
  <si>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</si>
  <si>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</si>
  <si>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</si>
  <si>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</si>
  <si>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</si>
  <si>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</si>
  <si>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</si>
  <si>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</si>
  <si>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</si>
  <si>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</si>
  <si>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</si>
  <si>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</si>
  <si>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</si>
  <si>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</si>
  <si>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</si>
  <si>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</si>
  <si>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</si>
  <si>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</si>
  <si>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</si>
  <si>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</si>
  <si>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</si>
  <si>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</si>
  <si>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</si>
  <si>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</si>
  <si>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</si>
  <si>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</si>
  <si>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</si>
  <si>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</si>
  <si>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</si>
  <si>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</si>
  <si>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</si>
  <si>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</si>
  <si>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</si>
  <si>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</si>
  <si>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</si>
  <si>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</si>
  <si>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</si>
  <si>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</si>
  <si>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</si>
  <si>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</si>
  <si>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</si>
  <si>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</si>
  <si>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</si>
  <si>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</si>
  <si>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</si>
  <si>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</si>
  <si>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</si>
  <si>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</si>
  <si>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</si>
  <si>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</si>
  <si>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</si>
  <si>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</si>
  <si>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</si>
  <si>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</si>
  <si>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</si>
  <si>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</si>
  <si>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</si>
  <si>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</si>
  <si>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</si>
  <si>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</si>
  <si>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</si>
  <si>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</si>
  <si>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</si>
  <si>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</si>
  <si>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</si>
  <si>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</si>
  <si>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</si>
  <si>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</si>
  <si>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</si>
  <si>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</si>
  <si>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</si>
  <si>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</si>
  <si>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</si>
  <si>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</si>
  <si>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</si>
  <si>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</si>
  <si>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</si>
  <si>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</si>
  <si>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</si>
  <si>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</si>
  <si>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</si>
  <si>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</si>
  <si>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</si>
  <si>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</si>
  <si>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</si>
  <si>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</si>
  <si>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</si>
  <si>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</si>
  <si>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</si>
  <si>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</si>
  <si>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</si>
  <si>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</si>
  <si>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</si>
  <si>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</si>
  <si>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</si>
  <si>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</si>
  <si>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</si>
  <si>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</si>
  <si>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</si>
  <si>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</si>
  <si>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</si>
  <si>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</si>
  <si>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</si>
  <si>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</si>
  <si>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</si>
  <si>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</si>
  <si>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</si>
  <si>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</si>
  <si>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</si>
  <si>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</si>
  <si>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</si>
  <si>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</si>
  <si>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</si>
  <si>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</si>
  <si>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</si>
  <si>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</si>
  <si>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</si>
  <si>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</si>
  <si>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</si>
  <si>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</si>
  <si>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</si>
  <si>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</si>
  <si>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</si>
  <si>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</si>
  <si>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</si>
  <si>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</si>
  <si>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</si>
  <si>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</si>
  <si>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</si>
  <si>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</si>
  <si>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</si>
  <si>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</si>
  <si>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</si>
  <si>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</si>
  <si>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</si>
  <si>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</si>
  <si>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</si>
  <si>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</si>
  <si>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</si>
  <si>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</si>
  <si>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</si>
  <si>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</si>
  <si>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</si>
  <si>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</si>
  <si>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</si>
  <si>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</si>
  <si>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</si>
  <si>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</si>
  <si>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</si>
  <si>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</si>
  <si>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</si>
  <si>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</si>
  <si>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</si>
  <si>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</si>
  <si>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</si>
  <si>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</si>
  <si>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</si>
  <si>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</si>
  <si>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</si>
  <si>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</si>
  <si>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</si>
  <si>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</si>
  <si>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</si>
  <si>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</si>
  <si>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</si>
  <si>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</si>
  <si>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</si>
  <si>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</si>
  <si>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</si>
  <si>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</si>
  <si>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</si>
  <si>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</si>
  <si>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</si>
  <si>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</si>
  <si>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</si>
  <si>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</si>
  <si>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</si>
  <si>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</si>
  <si>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</si>
  <si>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</si>
  <si>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</si>
  <si>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</si>
  <si>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</si>
  <si>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</si>
  <si>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</si>
  <si>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</si>
  <si>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</si>
  <si>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</si>
  <si>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</si>
  <si>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</si>
  <si>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</si>
  <si>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</si>
  <si>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</si>
  <si>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</si>
  <si>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</si>
  <si>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</si>
  <si>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</si>
  <si>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</si>
  <si>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</si>
  <si>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</si>
  <si>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</si>
  <si>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</si>
  <si>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</si>
  <si>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</si>
  <si>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</si>
  <si>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</si>
  <si>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</si>
  <si>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</si>
  <si>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</si>
  <si>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</si>
  <si>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</si>
  <si>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</si>
  <si>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</si>
  <si>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</si>
  <si>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</si>
  <si>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</si>
  <si>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</si>
  <si>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</si>
  <si>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</si>
  <si>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</si>
  <si>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</si>
  <si>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</si>
  <si>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</si>
  <si>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</si>
  <si>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</si>
  <si>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</si>
  <si>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</si>
  <si>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</si>
  <si>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</si>
  <si>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</si>
  <si>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</si>
  <si>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</si>
  <si>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</si>
  <si>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</si>
  <si>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</si>
  <si>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</si>
  <si>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</si>
  <si>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</si>
  <si>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</si>
  <si>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</si>
  <si>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</si>
  <si>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</si>
  <si>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</si>
  <si>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</si>
  <si>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</si>
  <si>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</si>
  <si>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</si>
  <si>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</si>
  <si>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</si>
  <si>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</si>
  <si>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</si>
  <si>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</si>
  <si>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</si>
  <si>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</si>
  <si>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</si>
  <si>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</si>
  <si>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</si>
  <si>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</si>
  <si>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</si>
  <si>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</si>
  <si>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</si>
  <si>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</si>
  <si>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</si>
  <si>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</si>
  <si>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</si>
  <si>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</si>
  <si>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</si>
  <si>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</si>
  <si>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</si>
  <si>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</si>
  <si>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</si>
  <si>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</si>
  <si>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</si>
  <si>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</si>
  <si>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</si>
  <si>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</si>
  <si>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</si>
  <si>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</si>
  <si>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</si>
  <si>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</si>
  <si>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</si>
  <si>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</si>
  <si>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</si>
  <si>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</si>
  <si>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</si>
  <si>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</si>
  <si>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</si>
  <si>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</si>
  <si>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</si>
  <si>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</si>
  <si>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</si>
  <si>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</si>
  <si>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</si>
  <si>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</si>
  <si>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</si>
  <si>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</si>
  <si>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</si>
  <si>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</si>
  <si>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</si>
  <si>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</si>
  <si>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</si>
  <si>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</si>
  <si>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</si>
  <si>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</si>
  <si>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</si>
  <si>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</si>
  <si>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</si>
  <si>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</si>
  <si>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</si>
  <si>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</si>
  <si>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</si>
  <si>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</si>
  <si>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</si>
  <si>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</si>
  <si>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</si>
  <si>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</si>
  <si>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</si>
  <si>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</si>
  <si>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</si>
  <si>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</si>
  <si>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</si>
  <si>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</si>
  <si>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</si>
  <si>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</si>
  <si>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</si>
  <si>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</si>
  <si>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</si>
  <si>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</si>
  <si>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</si>
  <si>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</si>
  <si>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</si>
  <si>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</si>
  <si>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</si>
  <si>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</si>
  <si>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</si>
  <si>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</si>
  <si>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</si>
  <si>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</si>
  <si>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</si>
  <si>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</si>
  <si>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</si>
  <si>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</si>
  <si>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</si>
  <si>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</si>
  <si>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</si>
  <si>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</si>
  <si>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</si>
  <si>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</si>
  <si>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</si>
  <si>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</si>
  <si>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</si>
  <si>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</si>
  <si>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</si>
  <si>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</si>
  <si>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</si>
  <si>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</si>
  <si>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</si>
  <si>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</si>
  <si>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</si>
  <si>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</si>
  <si>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</si>
  <si>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</si>
  <si>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</si>
  <si>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</si>
  <si>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</si>
  <si>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</si>
  <si>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</si>
  <si>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</si>
  <si>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</si>
  <si>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</si>
  <si>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</si>
  <si>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</si>
  <si>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</si>
  <si>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</si>
  <si>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</si>
  <si>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</si>
  <si>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</si>
  <si>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</si>
  <si>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</si>
  <si>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</si>
  <si>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</si>
  <si>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</si>
  <si>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</si>
  <si>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</si>
  <si>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</si>
  <si>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</si>
  <si>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</si>
  <si>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</si>
  <si>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</si>
  <si>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</si>
  <si>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</si>
  <si>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</si>
  <si>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</si>
  <si>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</si>
  <si>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</si>
  <si>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</si>
  <si>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</si>
  <si>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</si>
  <si>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</si>
  <si>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</si>
  <si>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</si>
  <si>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</si>
  <si>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</si>
  <si>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</si>
  <si>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</si>
  <si>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</si>
  <si>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</si>
  <si>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</si>
  <si>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</si>
  <si>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</si>
  <si>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</si>
  <si>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</si>
  <si>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</si>
  <si>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</si>
  <si>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</si>
  <si>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</si>
  <si>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</si>
  <si>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</si>
  <si>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</si>
  <si>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</si>
  <si>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</si>
  <si>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</si>
  <si>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</si>
  <si>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</si>
  <si>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</si>
  <si>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</si>
  <si>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</si>
  <si>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</si>
  <si>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</si>
  <si>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</si>
  <si>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</si>
  <si>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</si>
  <si>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</si>
  <si>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</si>
  <si>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</si>
  <si>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</si>
  <si>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</si>
  <si>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</si>
  <si>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</si>
  <si>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</si>
  <si>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</si>
  <si>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</si>
  <si>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</si>
  <si>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</si>
  <si>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</si>
  <si>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</si>
  <si>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</si>
  <si>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</si>
  <si>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</si>
  <si>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</si>
  <si>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</si>
  <si>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</si>
  <si>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</si>
  <si>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</si>
  <si>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</si>
  <si>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</si>
  <si>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</si>
  <si>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</si>
  <si>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</si>
  <si>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</si>
  <si>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</si>
  <si>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</si>
  <si>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</si>
  <si>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</si>
  <si>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</si>
  <si>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</si>
  <si>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</si>
  <si>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</si>
  <si>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</si>
  <si>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</si>
  <si>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</si>
  <si>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</si>
  <si>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</si>
  <si>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</si>
  <si>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</si>
  <si>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</si>
  <si>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</si>
  <si>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</si>
  <si>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</si>
  <si>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</si>
  <si>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</si>
  <si>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</si>
  <si>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</si>
  <si>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</si>
  <si>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</si>
  <si>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</si>
  <si>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</si>
  <si>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</si>
  <si>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</si>
  <si>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</si>
  <si>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</si>
  <si>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</si>
  <si>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</si>
  <si>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</si>
  <si>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</si>
  <si>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</si>
  <si>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</si>
  <si>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</si>
  <si>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</si>
  <si>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</si>
  <si>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</si>
  <si>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</si>
  <si>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Counts</t>
  </si>
  <si>
    <t>Total Amount</t>
  </si>
  <si>
    <t>Total Durations</t>
  </si>
  <si>
    <t>Avg Ratings</t>
  </si>
  <si>
    <t>5*call</t>
  </si>
  <si>
    <t>Row Labels</t>
  </si>
  <si>
    <t>Grand Total</t>
  </si>
  <si>
    <t>Sep</t>
  </si>
  <si>
    <t>Apr</t>
  </si>
  <si>
    <t>Aug</t>
  </si>
  <si>
    <t>Mar</t>
  </si>
  <si>
    <t>May</t>
  </si>
  <si>
    <t>Dec</t>
  </si>
  <si>
    <t>Nov</t>
  </si>
  <si>
    <t>Jan</t>
  </si>
  <si>
    <t>Oct</t>
  </si>
  <si>
    <t>Jun</t>
  </si>
  <si>
    <t>Feb</t>
  </si>
  <si>
    <t>Jul</t>
  </si>
  <si>
    <t>Call Counts2</t>
  </si>
  <si>
    <t>Friday</t>
  </si>
  <si>
    <t>Monday</t>
  </si>
  <si>
    <t>Saturday</t>
  </si>
  <si>
    <t>Sunday</t>
  </si>
  <si>
    <t>Thursday</t>
  </si>
  <si>
    <t>Tuesday</t>
  </si>
  <si>
    <t>Wednesday</t>
  </si>
  <si>
    <t>for graph</t>
  </si>
  <si>
    <t>seelcted reps</t>
  </si>
  <si>
    <t>sel.calls</t>
  </si>
  <si>
    <t>sel.amt</t>
  </si>
  <si>
    <t>Amount</t>
  </si>
  <si>
    <t>call counts</t>
  </si>
  <si>
    <t>Rep</t>
  </si>
  <si>
    <t>Column Labels</t>
  </si>
  <si>
    <t>TOTAL</t>
  </si>
  <si>
    <t xml:space="preserve">     </t>
  </si>
  <si>
    <r>
      <t xml:space="preserve">CALL CENTRE REPORT </t>
    </r>
    <r>
      <rPr>
        <sz val="24"/>
        <color theme="1" tint="0.499984740745262"/>
        <rFont val="Calibri"/>
        <family val="2"/>
        <scheme val="minor"/>
      </rPr>
      <t>- 2023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</si>
</sst>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8"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0"/>
      <color theme="1"/>
      <name val="Calibri"/>
      <family val="2"/>
      <scheme val="minor"/>
    </font>
    <font>
      <b/>
      <sz val="10"/>
      <color theme="1"/>
      <name val="Calibri"/>
      <family val="2"/>
      <scheme val="minor"/>
    </font>
    <font>
      <b/>
      <sz val="24"/>
      <color theme="1" tint="0.499984740745262"/>
      <name val="Calibri"/>
      <family val="2"/>
      <scheme val="minor"/>
    </font>
    <font>
      <sz val="24"/>
      <color theme="1" tint="0.499984740745262"/>
      <name val="Calibri"/>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4" fillId="5" borderId="0" xfId="0" applyFont="1" applyFill="1" applyBorder="1"/>
    <xf numFmtId="168" fontId="4" fillId="5" borderId="0" xfId="0" applyNumberFormat="1" applyFont="1" applyFill="1" applyBorder="1"/>
    <xf numFmtId="0" fontId="0" fillId="5" borderId="0" xfId="0" applyFill="1" applyBorder="1"/>
    <xf numFmtId="0" fontId="4" fillId="5" borderId="0" xfId="0" applyFont="1" applyFill="1" applyBorder="1" applyAlignment="1">
      <alignment horizontal="left" indent="1"/>
    </xf>
    <xf numFmtId="0" fontId="1" fillId="5" borderId="0" xfId="0" applyFont="1" applyFill="1" applyBorder="1"/>
    <xf numFmtId="0" fontId="5" fillId="5" borderId="0" xfId="0" applyFont="1" applyFill="1" applyBorder="1"/>
    <xf numFmtId="0" fontId="6" fillId="3" borderId="0" xfId="0" applyFont="1" applyFill="1"/>
    <xf numFmtId="0" fontId="0" fillId="0" borderId="0" xfId="0" applyNumberFormat="1"/>
  </cellXfs>
  <cellStyles count="1">
    <cellStyle name="Normal" xfId="0" builtinId="0"/>
  </cellStyles>
  <dxfs count="22">
    <dxf>
      <fill>
        <patternFill>
          <bgColor theme="8" tint="0.59996337778862885"/>
        </patternFill>
      </fill>
      <border>
        <left style="thin">
          <color rgb="FF333333"/>
        </left>
        <right style="thin">
          <color rgb="FF333333"/>
        </right>
        <vertical/>
        <horizontal/>
      </border>
    </dxf>
    <dxf>
      <fill>
        <patternFill patternType="solid">
          <bgColor rgb="FFFFFF00"/>
        </patternFill>
      </fill>
    </dxf>
    <dxf>
      <fill>
        <patternFill>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color theme="1"/>
      </font>
      <border>
        <bottom style="thin">
          <color theme="8"/>
        </bottom>
        <vertical/>
        <horizontal/>
      </border>
    </dxf>
    <dxf>
      <font>
        <color theme="1"/>
      </font>
      <border diagonalUp="1">
        <left style="thin">
          <color theme="8"/>
        </left>
        <right style="thin">
          <color theme="8"/>
        </right>
        <top style="thin">
          <color theme="8"/>
        </top>
        <bottom style="thin">
          <color theme="8"/>
        </bottom>
        <diagonal style="thin">
          <color theme="0" tint="-0.24994659260841701"/>
        </diagonal>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1"/>
    </tableStyle>
    <tableStyle name="SlicerStyleDark5 2" pivot="0" table="0" count="10" xr9:uid="{DFA29E2E-3030-486F-A99A-D017E6F300FE}">
      <tableStyleElement type="wholeTable" dxfId="20"/>
      <tableStyleElement type="headerRow" dxfId="19"/>
    </tableStyle>
    <tableStyle name="SlicerStyleDark5 2 2" pivot="0" table="0" count="10" xr9:uid="{032054BE-12DB-4CB8-97FA-B3FBAF49FD86}">
      <tableStyleElement type="wholeTable" dxfId="18"/>
      <tableStyleElement type="headerRow" dxfId="17"/>
    </tableStyle>
  </tableStyles>
  <colors>
    <mruColors>
      <color rgb="FF333333"/>
      <color rgb="FF29292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1"/>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[Callcentredashboard.xlsx]Pivots!weekly trends</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Pivots!$G$23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Pivots!$F$24:$F$31</c:f>
              <c:strCache>
                <c:ptCount val="7"/>
                <c:pt idx="0">
                  <c:v>Sunday</c:v>
                </c:pt>
                <c:pt idx="1">
                  <c:v>Monday</c:v>
                </c:pt>
                <c:pt idx="2">
                  <c:v>Tuesday</c:v>
                </c:pt>
                <c:pt idx="3">
                  <c:v>Wednesday</c:v>
                </c:pt>
                <c:pt idx="4">
                  <c:v>Thursday</c:v>
                </c:pt>
                <c:pt idx="5">
                  <c:v>Friday</c:v>
                </c:pt>
                <c:pt idx="6">
                  <c:v>Saturday</c:v>
                </c:pt>
              </c:strCache>
            </c:strRef>
          </c:cat>
          <c:val>
            <c:numRef>
              <c:f>Pivots!$G$24:$G$31</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E2A3-403F-AA96-E49281EC0326}"/>
            </c:ext>
          </c:extLst>
        </c:ser>
        <c:dLbls>
          <c:showLegendKey val="0"/>
          <c:showVal val="0"/>
          <c:showCatName val="0"/>
          <c:showSerName val="0"/>
          <c:showPercent val="0"/>
          <c:showBubbleSize val="0"/>
        </c:dLbls>
        <c:gapWidth val="25"/>
        <c:axId val="1872772912"/>
        <c:axId val="1863385552"/>
      </c:barChart>
      <c:catAx>
        <c:axId val="1872772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85552"/>
        <c:crosses val="autoZero"/>
        <c:auto val="1"/>
        <c:lblAlgn val="ctr"/>
        <c:lblOffset val="100"/>
        <c:noMultiLvlLbl val="0"/>
      </c:catAx>
      <c:valAx>
        <c:axId val="186338555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[Callcentredashboard.xlsx]Pivots!monthtrends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Call</a:t>
            </a:r>
            <a:r>
              <a:rPr lang="en-IN" sz="1600" b="1" baseline="0">
                <a:solidFill>
                  <a:schemeClr val="accent6"/>
                </a:solidFill>
              </a:rPr>
              <a:t> Trends</a:t>
            </a:r>
            <a:endParaRPr lang="en-IN" sz="1600" b="1">
              <a:solidFill>
                <a:schemeClr val="accent6"/>
              </a:solidFill>
            </a:endParaRPr>
          </a:p>
        </c:rich>
      </c:tx>
      <c:layout>
        <c:manualLayout>
          <c:xMode val="edge"/>
          <c:yMode val="edge"/>
          <c:x val="2.9451900265948367E-2"/>
          <c:y val="2.3505568691322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schemeClr>
              </a:gs>
              <a:gs pos="100000">
                <a:schemeClr val="accent6">
                  <a:alpha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Pivots!$C$23</c:f>
              <c:strCache>
                <c:ptCount val="1"/>
                <c:pt idx="0">
                  <c:v>Call Counts2</c:v>
                </c:pt>
              </c:strCache>
            </c:strRef>
          </c:tx>
          <c:spPr>
            <a:gradFill flip="none" rotWithShape="1">
              <a:gsLst>
                <a:gs pos="0">
                  <a:schemeClr val="accent6">
                    <a:lumMod val="60000"/>
                    <a:lumOff val="40000"/>
                  </a:schemeClr>
                </a:gs>
                <a:gs pos="100000">
                  <a:schemeClr val="accent6">
                    <a:alpha val="50000"/>
                  </a:schemeClr>
                </a:gs>
              </a:gsLst>
              <a:lin ang="16200000" scaled="1"/>
              <a:tileRect/>
            </a:gradFill>
            <a:ln>
              <a:noFill/>
            </a:ln>
            <a:effectLst/>
          </c:spP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Pivots!$C$24:$C$36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4CAA-4BBC-AF65-01AC6232D32C}"/>
            </c:ext>
          </c:extLst>
        </c:ser>
        <c:dLbls>
          <c:showLegendKey val="0"/>
          <c:showVal val="0"/>
          <c:showCatName val="0"/>
          <c:showSerName val="0"/>
          <c:showPercent val="0"/>
          <c:showBubbleSize val="0"/>
        </c:dLbls>
        <c:axId val="1911538336"/>
        <c:axId val="1805217936"/>
      </c:areaChart>
      <c:lineChart>
        <c:grouping val="standard"/>
        <c:varyColors val="0"/>
        <c:ser>
          <c:idx val="0"/>
          <c:order val="0"/>
          <c:tx>
            <c:strRef>
              <c:f>Pivots!$B$23</c:f>
              <c:strCache>
                <c:ptCount val="1"/>
                <c:pt idx="0">
                  <c:v>Call Counts</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95000"/>
                    <a:lumOff val="5000"/>
                  </a:schemeClr>
                </a:solidFill>
              </a:ln>
              <a:effectLst/>
            </c:spPr>
          </c:marke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Pivots!$B$24:$B$36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4CAA-4BBC-AF65-01AC6232D32C}"/>
            </c:ext>
          </c:extLst>
        </c:ser>
        <c:dLbls>
          <c:showLegendKey val="0"/>
          <c:showVal val="0"/>
          <c:showCatName val="0"/>
          <c:showSerName val="0"/>
          <c:showPercent val="0"/>
          <c:showBubbleSize val="0"/>
        </c:dLbls>
        <c:marker val="1"/>
        <c:smooth val="0"/>
        <c:axId val="1911538336"/>
        <c:axId val="1805217936"/>
      </c:lineChart>
      <c:catAx>
        <c:axId val="191153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217936"/>
        <c:crosses val="autoZero"/>
        <c:auto val="1"/>
        <c:lblAlgn val="ctr"/>
        <c:lblOffset val="100"/>
        <c:noMultiLvlLbl val="0"/>
      </c:catAx>
      <c:valAx>
        <c:axId val="1805217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53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Calls</a:t>
            </a:r>
          </a:p>
        </c:rich>
      </c:tx>
      <c:layout>
        <c:manualLayout>
          <c:xMode val="edge"/>
          <c:yMode val="edge"/>
          <c:x val="4.70528063954491E-2"/>
          <c:y val="1.061600230744512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56044751700468"/>
          <c:y val="5.0925925925925923E-2"/>
          <c:w val="0.82381002109484325"/>
          <c:h val="0.8981481481481481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Pivots!$E$51:$E$55</c:f>
              <c:strCache>
                <c:ptCount val="5"/>
                <c:pt idx="0">
                  <c:v>R01</c:v>
                </c:pt>
                <c:pt idx="1">
                  <c:v>R02</c:v>
                </c:pt>
                <c:pt idx="2">
                  <c:v>R03</c:v>
                </c:pt>
                <c:pt idx="3">
                  <c:v>R04</c:v>
                </c:pt>
                <c:pt idx="4">
                  <c:v>R05</c:v>
                </c:pt>
              </c:strCache>
            </c:strRef>
          </c:cat>
          <c:val>
            <c:numRef>
              <c:f>Pivots!$F$51:$F$55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E33-4D71-B1BB-AC6C999AB911}"/>
            </c:ext>
          </c:extLst>
        </c:ser>
        <c:ser>
          <c:idx val="2"/>
          <c:order val="2"/>
          <c:tx>
            <c:strRef>
              <c:f>Pivots!$H$50</c:f>
              <c:strCache>
                <c:ptCount val="1"/>
                <c:pt idx="0">
                  <c:v>sel.calls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Pivots!$H$51:$H$55</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1E33-4D71-B1BB-AC6C999AB911}"/>
            </c:ext>
          </c:extLst>
        </c:ser>
        <c:dLbls>
          <c:showLegendKey val="0"/>
          <c:showVal val="0"/>
          <c:showCatName val="0"/>
          <c:showSerName val="0"/>
          <c:showPercent val="0"/>
          <c:showBubbleSize val="0"/>
        </c:dLbls>
        <c:gapWidth val="25"/>
        <c:overlap val="100"/>
        <c:axId val="1903143536"/>
        <c:axId val="1863361072"/>
        <c:extLst>
          <c:ext xmlns:c15="http://schemas.microsoft.com/office/drawing/2012/chart" uri="{02D57815-91ED-43cb-92C2-25804820EDAC}">
            <c15:filteredBarSeries>
              <c15:ser>
                <c:idx val="1"/>
                <c:order val="1"/>
                <c:tx>
                  <c:strRef>
                    <c:extLst>
                      <c:ext uri="{02D57815-91ED-43cb-92C2-25804820EDAC}">
                        <c15:formulaRef>
                          <c15:sqref>Pivots!$H$50:$H$55</c15:sqref>
                        </c15:formulaRef>
                      </c:ext>
                    </c:extLst>
                    <c:strCache>
                      <c:ptCount val="6"/>
                      <c:pt idx="0">
                        <c:v>sel.calls</c:v>
                      </c:pt>
                      <c:pt idx="1">
                        <c:v>189</c:v>
                      </c:pt>
                      <c:pt idx="2">
                        <c:v>#N/A</c:v>
                      </c:pt>
                      <c:pt idx="3">
                        <c:v>#N/A</c:v>
                      </c:pt>
                      <c:pt idx="4">
                        <c:v>#N/A</c:v>
                      </c:pt>
                      <c:pt idx="5">
                        <c:v>#N/A</c:v>
                      </c:pt>
                    </c:strCache>
                  </c:strRef>
                </c:tx>
                <c:spPr>
                  <a:solidFill>
                    <a:schemeClr val="accent2"/>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2-1E33-4D71-B1BB-AC6C999AB911}"/>
                  </c:ext>
                </c:extLst>
              </c15:ser>
            </c15:filteredBarSeries>
          </c:ext>
        </c:extLst>
      </c:barChart>
      <c:catAx>
        <c:axId val="190314353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61072"/>
        <c:crosses val="autoZero"/>
        <c:auto val="1"/>
        <c:lblAlgn val="ctr"/>
        <c:lblOffset val="100"/>
        <c:noMultiLvlLbl val="0"/>
      </c:catAx>
      <c:valAx>
        <c:axId val="1863361072"/>
        <c:scaling>
          <c:orientation val="minMax"/>
          <c:min val="0"/>
        </c:scaling>
        <c:delete val="1"/>
        <c:axPos val="b"/>
        <c:numFmt formatCode="General" sourceLinked="1"/>
        <c:majorTickMark val="out"/>
        <c:minorTickMark val="none"/>
        <c:tickLblPos val="nextTo"/>
        <c:crossAx val="190314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Amount</a:t>
            </a:r>
          </a:p>
        </c:rich>
      </c:tx>
      <c:layout>
        <c:manualLayout>
          <c:xMode val="edge"/>
          <c:yMode val="edge"/>
          <c:x val="1.090658516544429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13853307506096"/>
          <c:y val="5.0925925925925923E-2"/>
          <c:w val="0.82360013968456658"/>
          <c:h val="0.8981481481481481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Pivots!$E$51:$E$55</c:f>
              <c:strCache>
                <c:ptCount val="5"/>
                <c:pt idx="0">
                  <c:v>R01</c:v>
                </c:pt>
                <c:pt idx="1">
                  <c:v>R02</c:v>
                </c:pt>
                <c:pt idx="2">
                  <c:v>R03</c:v>
                </c:pt>
                <c:pt idx="3">
                  <c:v>R04</c:v>
                </c:pt>
                <c:pt idx="4">
                  <c:v>R05</c:v>
                </c:pt>
              </c:strCache>
            </c:strRef>
          </c:cat>
          <c:val>
            <c:numRef>
              <c:f>Pivots!$G$51:$G$55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EC8-401D-8209-5CFCB47CBF98}"/>
            </c:ext>
          </c:extLst>
        </c:ser>
        <c:ser>
          <c:idx val="1"/>
          <c:order val="1"/>
          <c:tx>
            <c:strRef>
              <c:f>Pivots!$I$50</c:f>
              <c:strCache>
                <c:ptCount val="1"/>
                <c:pt idx="0">
                  <c:v>sel.amt</c:v>
                </c:pt>
              </c:strCache>
            </c:strRef>
          </c:tx>
          <c:spPr>
            <a:gradFill flip="none" rotWithShape="1">
              <a:gsLst>
                <a:gs pos="44000">
                  <a:schemeClr val="accent6">
                    <a:lumMod val="60000"/>
                    <a:lumOff val="40000"/>
                  </a:schemeClr>
                </a:gs>
                <a:gs pos="100000">
                  <a:schemeClr val="accent6"/>
                </a:gs>
              </a:gsLst>
              <a:lin ang="0" scaled="1"/>
              <a:tileRect/>
            </a:gradFill>
            <a:ln>
              <a:noFill/>
            </a:ln>
            <a:effectLst/>
          </c:spPr>
          <c:invertIfNegative val="0"/>
          <c:val>
            <c:numRef>
              <c:f>Pivots!$I$51:$I$55</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1EC8-401D-8209-5CFCB47CBF98}"/>
            </c:ext>
          </c:extLst>
        </c:ser>
        <c:dLbls>
          <c:showLegendKey val="0"/>
          <c:showVal val="0"/>
          <c:showCatName val="0"/>
          <c:showSerName val="0"/>
          <c:showPercent val="0"/>
          <c:showBubbleSize val="0"/>
        </c:dLbls>
        <c:gapWidth val="25"/>
        <c:overlap val="100"/>
        <c:axId val="1903143536"/>
        <c:axId val="1863361072"/>
      </c:barChart>
      <c:catAx>
        <c:axId val="190314353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61072"/>
        <c:crosses val="autoZero"/>
        <c:auto val="1"/>
        <c:lblAlgn val="ctr"/>
        <c:lblOffset val="100"/>
        <c:noMultiLvlLbl val="0"/>
      </c:catAx>
      <c:valAx>
        <c:axId val="1863361072"/>
        <c:scaling>
          <c:orientation val="minMax"/>
        </c:scaling>
        <c:delete val="1"/>
        <c:axPos val="t"/>
        <c:numFmt formatCode="\$#,###.0,&quot;k&quot;" sourceLinked="1"/>
        <c:majorTickMark val="none"/>
        <c:minorTickMark val="none"/>
        <c:tickLblPos val="nextTo"/>
        <c:crossAx val="190314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[Callcentredashboard.xlsx]Pivots!PivotTable4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Female</a:t>
            </a:r>
            <a:r>
              <a:rPr lang="en-IN" sz="1600" b="1" baseline="0">
                <a:solidFill>
                  <a:schemeClr val="accent6"/>
                </a:solidFill>
              </a:rPr>
              <a:t> </a:t>
            </a:r>
            <a:r>
              <a:rPr lang="en-IN" sz="1600" b="1" baseline="0">
                <a:solidFill>
                  <a:schemeClr val="tx1">
                    <a:lumMod val="85000"/>
                    <a:lumOff val="15000"/>
                  </a:schemeClr>
                </a:solidFill>
              </a:rPr>
              <a:t>V/S </a:t>
            </a:r>
            <a:r>
              <a:rPr lang="en-IN" sz="1600" b="1" baseline="0">
                <a:solidFill>
                  <a:schemeClr val="accent4"/>
                </a:solidFill>
              </a:rPr>
              <a:t>Male</a:t>
            </a:r>
            <a:r>
              <a:rPr lang="en-IN" sz="1600" b="1" baseline="0">
                <a:solidFill>
                  <a:schemeClr val="accent6"/>
                </a:solidFill>
              </a:rPr>
              <a:t> </a:t>
            </a:r>
            <a:r>
              <a:rPr lang="en-IN" sz="1600" b="1" baseline="0">
                <a:solidFill>
                  <a:schemeClr val="tx1">
                    <a:lumMod val="85000"/>
                    <a:lumOff val="15000"/>
                  </a:schemeClr>
                </a:solidFill>
              </a:rPr>
              <a:t>Callers</a:t>
            </a:r>
            <a:endParaRPr lang="en-IN" sz="16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alpha val="50000"/>
              </a:schemeClr>
            </a:solid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Pivots!$E$61:$E$62</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Pivots!$D$63:$D$66</c:f>
              <c:strCache>
                <c:ptCount val="3"/>
                <c:pt idx="0">
                  <c:v>Cincinnati</c:v>
                </c:pt>
                <c:pt idx="1">
                  <c:v>Cleveland</c:v>
                </c:pt>
                <c:pt idx="2">
                  <c:v>Columbus</c:v>
                </c:pt>
              </c:strCache>
            </c:strRef>
          </c:cat>
          <c:val>
            <c:numRef>
              <c:f>Pivots!$E$63:$E$66</c:f>
              <c:numCache>
                <c:formatCode>#,##0</c:formatCode>
                <c:ptCount val="3"/>
                <c:pt idx="0">
                  <c:v>144</c:v>
                </c:pt>
                <c:pt idx="1">
                  <c:v>326</c:v>
                </c:pt>
                <c:pt idx="2">
                  <c:v>129</c:v>
                </c:pt>
              </c:numCache>
            </c:numRef>
          </c:val>
          <c:extLst>
            <c:ext xmlns:c16="http://schemas.microsoft.com/office/drawing/2014/chart" uri="{C3380CC4-5D6E-409C-BE32-E72D297353CC}">
              <c16:uniqueId val="{00000000-0C19-468B-80F1-E97E6C870620}"/>
            </c:ext>
          </c:extLst>
        </c:ser>
        <c:ser>
          <c:idx val="1"/>
          <c:order val="1"/>
          <c:tx>
            <c:strRef>
              <c:f>Pivots!$F$61:$F$62</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Pivots!$D$63:$D$66</c:f>
              <c:strCache>
                <c:ptCount val="3"/>
                <c:pt idx="0">
                  <c:v>Cincinnati</c:v>
                </c:pt>
                <c:pt idx="1">
                  <c:v>Cleveland</c:v>
                </c:pt>
                <c:pt idx="2">
                  <c:v>Columbus</c:v>
                </c:pt>
              </c:strCache>
            </c:strRef>
          </c:cat>
          <c:val>
            <c:numRef>
              <c:f>Pivots!$F$63:$F$66</c:f>
              <c:numCache>
                <c:formatCode>#,##0</c:formatCode>
                <c:ptCount val="3"/>
                <c:pt idx="0">
                  <c:v>132</c:v>
                </c:pt>
                <c:pt idx="1">
                  <c:v>63</c:v>
                </c:pt>
                <c:pt idx="2">
                  <c:v>206</c:v>
                </c:pt>
              </c:numCache>
            </c:numRef>
          </c:val>
          <c:extLst>
            <c:ext xmlns:c16="http://schemas.microsoft.com/office/drawing/2014/chart" uri="{C3380CC4-5D6E-409C-BE32-E72D297353CC}">
              <c16:uniqueId val="{00000001-0C19-468B-80F1-E97E6C870620}"/>
            </c:ext>
          </c:extLst>
        </c:ser>
        <c:dLbls>
          <c:showLegendKey val="0"/>
          <c:showVal val="0"/>
          <c:showCatName val="0"/>
          <c:showSerName val="0"/>
          <c:showPercent val="0"/>
          <c:showBubbleSize val="0"/>
        </c:dLbls>
        <c:gapWidth val="25"/>
        <c:overlap val="100"/>
        <c:axId val="1903139360"/>
        <c:axId val="1863327952"/>
      </c:barChart>
      <c:catAx>
        <c:axId val="190313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27952"/>
        <c:crosses val="autoZero"/>
        <c:auto val="1"/>
        <c:lblAlgn val="ctr"/>
        <c:lblOffset val="100"/>
        <c:noMultiLvlLbl val="0"/>
      </c:catAx>
      <c:valAx>
        <c:axId val="1863327952"/>
        <c:scaling>
          <c:orientation val="minMax"/>
        </c:scaling>
        <c:delete val="1"/>
        <c:axPos val="l"/>
        <c:numFmt formatCode="0%" sourceLinked="1"/>
        <c:majorTickMark val="none"/>
        <c:minorTickMark val="none"/>
        <c:tickLblPos val="nextTo"/>
        <c:crossAx val="19031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[Callcentredashboard.xlsx]Pivots!rep statisfaction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Pivots!$C$70</c:f>
              <c:strCache>
                <c:ptCount val="1"/>
                <c:pt idx="0">
                  <c:v>Total</c:v>
                </c:pt>
              </c:strCache>
            </c:strRef>
          </c:tx>
          <c:spPr>
            <a:solidFill>
              <a:schemeClr val="bg2">
                <a:lumMod val="50000"/>
              </a:schemeClr>
            </a:solidFill>
            <a:ln>
              <a:noFill/>
            </a:ln>
            <a:effectLst/>
          </c:spPr>
          <c:invertIfNegative val="0"/>
          <c:cat>
            <c:strRef>
              <c:f>Pivots!$B$71:$B$77</c:f>
              <c:strCache>
                <c:ptCount val="6"/>
                <c:pt idx="0">
                  <c:v>0</c:v>
                </c:pt>
                <c:pt idx="1">
                  <c:v>1</c:v>
                </c:pt>
                <c:pt idx="2">
                  <c:v>2</c:v>
                </c:pt>
                <c:pt idx="3">
                  <c:v>3</c:v>
                </c:pt>
                <c:pt idx="4">
                  <c:v>4</c:v>
                </c:pt>
                <c:pt idx="5">
                  <c:v>5</c:v>
                </c:pt>
              </c:strCache>
            </c:strRef>
          </c:cat>
          <c:val>
            <c:numRef>
              <c:f>Pivots!$C$71:$C$77</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71F2-454F-93C2-0B6C6B12CFD8}"/>
            </c:ext>
          </c:extLst>
        </c:ser>
        <c:dLbls>
          <c:showLegendKey val="0"/>
          <c:showVal val="0"/>
          <c:showCatName val="0"/>
          <c:showSerName val="0"/>
          <c:showPercent val="0"/>
          <c:showBubbleSize val="0"/>
        </c:dLbls>
        <c:gapWidth val="10"/>
        <c:overlap val="-27"/>
        <c:axId val="1912047904"/>
        <c:axId val="1863348592"/>
      </c:barChart>
      <c:catAx>
        <c:axId val="19120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48592"/>
        <c:crosses val="autoZero"/>
        <c:auto val="1"/>
        <c:lblAlgn val="ctr"/>
        <c:lblOffset val="100"/>
        <c:noMultiLvlLbl val="0"/>
      </c:catAx>
      <c:valAx>
        <c:axId val="1863348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0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99060</xdr:colOff>
      <xdr:row>1</xdr:row>
      <xdr:rowOff>167640</xdr:rowOff>
    </xdr:from>
    <xdr:to>
      <xdr:col>7</xdr:col>
      <xdr:colOff>358140</xdr:colOff>
      <xdr:row>15</xdr:row>
      <xdr:rowOff>74295</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04DCD359-8B06-ECCC-76DF-7B3A3177AC2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375666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168697</xdr:colOff>
      <xdr:row>2</xdr:row>
      <xdr:rowOff>182693</xdr:rowOff>
    </xdr:from>
    <xdr:to>
      <xdr:col>3</xdr:col>
      <xdr:colOff>558362</xdr:colOff>
      <xdr:row>7</xdr:row>
      <xdr:rowOff>164224</xdr:rowOff>
    </xdr:to>
    <xdr:sp macro="" textlink="Pivots!A4">
      <xdr:nvSpPr>
        <xdr:cNvPr id="2" name="Rectangle 1">
          <a:extLst>
            <a:ext uri="{FF2B5EF4-FFF2-40B4-BE49-F238E27FC236}">
              <a16:creationId xmlns:a16="http://schemas.microsoft.com/office/drawing/2014/main" id="{6D574381-EE5A-2723-9E2C-B48E8AC446DA}"/>
            </a:ext>
          </a:extLst>
        </xdr:cNvPr>
        <xdr:cNvSpPr/>
      </xdr:nvSpPr>
      <xdr:spPr>
        <a:xfrm>
          <a:off x="352628" y="550555"/>
          <a:ext cx="1243631" cy="9011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D5AAF7-3566-4A31-BC71-526C8A6DD879}" type="TxLink">
            <a:rPr lang="en-US" sz="1100" b="0" i="0" u="none" strike="noStrike">
              <a:solidFill>
                <a:schemeClr val="bg1"/>
              </a:solidFill>
              <a:latin typeface="Arial Black" panose="020B0A04020102020204" pitchFamily="34" charset="0"/>
              <a:ea typeface="Calibri"/>
              <a:cs typeface="Calibri"/>
            </a:rPr>
            <a:pPr algn="ctr"/>
            <a:t>1,000</a:t>
          </a:fld>
          <a:endParaRPr lang="en-IN" sz="1100">
            <a:solidFill>
              <a:schemeClr val="bg1"/>
            </a:solidFill>
            <a:latin typeface="Arial Black" panose="020B0A04020102020204" pitchFamily="34" charset="0"/>
          </a:endParaRPr>
        </a:p>
      </xdr:txBody>
    </xdr:sp>
    <xdr:clientData/>
  </xdr:twoCellAnchor>
  <xdr:twoCellAnchor>
    <xdr:from>
      <xdr:col>2</xdr:col>
      <xdr:colOff>315120</xdr:colOff>
      <xdr:row>4</xdr:row>
      <xdr:rowOff>2189</xdr:rowOff>
    </xdr:from>
    <xdr:to>
      <xdr:col>3</xdr:col>
      <xdr:colOff>190690</xdr:colOff>
      <xdr:row>4</xdr:row>
      <xdr:rowOff>158510</xdr:rowOff>
    </xdr:to>
    <xdr:sp macro="" textlink="">
      <xdr:nvSpPr>
        <xdr:cNvPr id="3" name="TextBox 2">
          <a:extLst>
            <a:ext uri="{FF2B5EF4-FFF2-40B4-BE49-F238E27FC236}">
              <a16:creationId xmlns:a16="http://schemas.microsoft.com/office/drawing/2014/main" id="{C002194A-A47E-04F3-3230-57010721A8AB}"/>
            </a:ext>
          </a:extLst>
        </xdr:cNvPr>
        <xdr:cNvSpPr txBox="1"/>
      </xdr:nvSpPr>
      <xdr:spPr>
        <a:xfrm>
          <a:off x="676413" y="737913"/>
          <a:ext cx="552174" cy="15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bg1">
                  <a:lumMod val="95000"/>
                </a:schemeClr>
              </a:solidFill>
              <a:latin typeface="Arial" panose="020B0604020202020204" pitchFamily="34" charset="0"/>
              <a:cs typeface="Arial" panose="020B0604020202020204" pitchFamily="34" charset="0"/>
            </a:rPr>
            <a:t>Calls</a:t>
          </a:r>
        </a:p>
      </xdr:txBody>
    </xdr:sp>
    <xdr:clientData/>
  </xdr:twoCellAnchor>
  <xdr:twoCellAnchor editAs="oneCell">
    <xdr:from>
      <xdr:col>2</xdr:col>
      <xdr:colOff>85208</xdr:colOff>
      <xdr:row>4</xdr:row>
      <xdr:rowOff>8761</xdr:rowOff>
    </xdr:from>
    <xdr:to>
      <xdr:col>2</xdr:col>
      <xdr:colOff>228770</xdr:colOff>
      <xdr:row>4</xdr:row>
      <xdr:rowOff>154037</xdr:rowOff>
    </xdr:to>
    <xdr:pic>
      <xdr:nvPicPr>
        <xdr:cNvPr id="7" name="Graphic 6" descr="Receiver with solid fill">
          <a:extLst>
            <a:ext uri="{FF2B5EF4-FFF2-40B4-BE49-F238E27FC236}">
              <a16:creationId xmlns:a16="http://schemas.microsoft.com/office/drawing/2014/main" id="{428BF4C0-2B0D-16F6-A2D5-0068559010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6501" y="744485"/>
          <a:ext cx="143562" cy="145276"/>
        </a:xfrm>
        <a:prstGeom prst="rect">
          <a:avLst/>
        </a:prstGeom>
      </xdr:spPr>
    </xdr:pic>
    <xdr:clientData/>
  </xdr:twoCellAnchor>
  <xdr:twoCellAnchor>
    <xdr:from>
      <xdr:col>2</xdr:col>
      <xdr:colOff>269328</xdr:colOff>
      <xdr:row>6</xdr:row>
      <xdr:rowOff>52552</xdr:rowOff>
    </xdr:from>
    <xdr:to>
      <xdr:col>3</xdr:col>
      <xdr:colOff>302172</xdr:colOff>
      <xdr:row>7</xdr:row>
      <xdr:rowOff>59121</xdr:rowOff>
    </xdr:to>
    <xdr:sp macro="" textlink="Pivots!A8">
      <xdr:nvSpPr>
        <xdr:cNvPr id="8" name="TextBox 7">
          <a:extLst>
            <a:ext uri="{FF2B5EF4-FFF2-40B4-BE49-F238E27FC236}">
              <a16:creationId xmlns:a16="http://schemas.microsoft.com/office/drawing/2014/main" id="{86A58762-2949-6C42-0E0E-87BBE3DBB4E8}"/>
            </a:ext>
          </a:extLst>
        </xdr:cNvPr>
        <xdr:cNvSpPr txBox="1"/>
      </xdr:nvSpPr>
      <xdr:spPr>
        <a:xfrm>
          <a:off x="630621" y="1156138"/>
          <a:ext cx="70944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E37B75-DCDC-495A-B1FB-3B6730F69468}" type="TxLink">
            <a:rPr lang="en-US" sz="1100" b="0" i="0" u="none" strike="noStrike">
              <a:solidFill>
                <a:schemeClr val="bg1">
                  <a:lumMod val="95000"/>
                </a:schemeClr>
              </a:solidFill>
              <a:latin typeface="Calibri"/>
              <a:ea typeface="Calibri"/>
              <a:cs typeface="Calibri"/>
            </a:rPr>
            <a:pPr algn="ctr"/>
            <a:t>1,000</a:t>
          </a:fld>
          <a:endParaRPr lang="en-IN" sz="1100" b="0">
            <a:solidFill>
              <a:schemeClr val="bg1">
                <a:lumMod val="95000"/>
              </a:schemeClr>
            </a:solidFill>
          </a:endParaRPr>
        </a:p>
      </xdr:txBody>
    </xdr:sp>
    <xdr:clientData/>
  </xdr:twoCellAnchor>
  <xdr:twoCellAnchor>
    <xdr:from>
      <xdr:col>1</xdr:col>
      <xdr:colOff>164224</xdr:colOff>
      <xdr:row>9</xdr:row>
      <xdr:rowOff>124811</xdr:rowOff>
    </xdr:from>
    <xdr:to>
      <xdr:col>3</xdr:col>
      <xdr:colOff>553889</xdr:colOff>
      <xdr:row>14</xdr:row>
      <xdr:rowOff>106342</xdr:rowOff>
    </xdr:to>
    <xdr:sp macro="" textlink="Pivots!B4">
      <xdr:nvSpPr>
        <xdr:cNvPr id="9" name="Rectangle 8">
          <a:extLst>
            <a:ext uri="{FF2B5EF4-FFF2-40B4-BE49-F238E27FC236}">
              <a16:creationId xmlns:a16="http://schemas.microsoft.com/office/drawing/2014/main" id="{0FDFC6FB-8B8F-4A64-837B-312806B03C06}"/>
            </a:ext>
          </a:extLst>
        </xdr:cNvPr>
        <xdr:cNvSpPr/>
      </xdr:nvSpPr>
      <xdr:spPr>
        <a:xfrm>
          <a:off x="348155" y="1780190"/>
          <a:ext cx="1243631" cy="9011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AF304D7-76A0-4849-8316-8949A8E11AC4}" type="TxLink">
            <a:rPr lang="en-US" sz="1100" b="0" i="0" u="none" strike="noStrike">
              <a:solidFill>
                <a:schemeClr val="bg1"/>
              </a:solidFill>
              <a:latin typeface="Arial Black" panose="020B0A04020102020204" pitchFamily="34" charset="0"/>
              <a:ea typeface="Calibri"/>
              <a:cs typeface="Calibri"/>
            </a:rPr>
            <a:pPr marL="0" indent="0" algn="ctr"/>
            <a:t>$96,623</a:t>
          </a:fld>
          <a:endParaRPr lang="en-IN" sz="11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xdr:col>
      <xdr:colOff>310647</xdr:colOff>
      <xdr:row>10</xdr:row>
      <xdr:rowOff>128238</xdr:rowOff>
    </xdr:from>
    <xdr:to>
      <xdr:col>3</xdr:col>
      <xdr:colOff>256189</xdr:colOff>
      <xdr:row>11</xdr:row>
      <xdr:rowOff>124811</xdr:rowOff>
    </xdr:to>
    <xdr:sp macro="" textlink="">
      <xdr:nvSpPr>
        <xdr:cNvPr id="10" name="TextBox 9">
          <a:extLst>
            <a:ext uri="{FF2B5EF4-FFF2-40B4-BE49-F238E27FC236}">
              <a16:creationId xmlns:a16="http://schemas.microsoft.com/office/drawing/2014/main" id="{2E8011FC-A1DB-400E-8536-C761CE99746C}"/>
            </a:ext>
          </a:extLst>
        </xdr:cNvPr>
        <xdr:cNvSpPr txBox="1"/>
      </xdr:nvSpPr>
      <xdr:spPr>
        <a:xfrm>
          <a:off x="671940" y="1967548"/>
          <a:ext cx="622146" cy="18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bg1">
                  <a:lumMod val="95000"/>
                </a:schemeClr>
              </a:solidFill>
              <a:latin typeface="Arial" panose="020B0604020202020204" pitchFamily="34" charset="0"/>
              <a:cs typeface="Arial" panose="020B0604020202020204" pitchFamily="34" charset="0"/>
            </a:rPr>
            <a:t>Amount</a:t>
          </a:r>
        </a:p>
      </xdr:txBody>
    </xdr:sp>
    <xdr:clientData/>
  </xdr:twoCellAnchor>
  <xdr:twoCellAnchor>
    <xdr:from>
      <xdr:col>2</xdr:col>
      <xdr:colOff>264855</xdr:colOff>
      <xdr:row>12</xdr:row>
      <xdr:rowOff>178601</xdr:rowOff>
    </xdr:from>
    <xdr:to>
      <xdr:col>3</xdr:col>
      <xdr:colOff>297699</xdr:colOff>
      <xdr:row>14</xdr:row>
      <xdr:rowOff>1239</xdr:rowOff>
    </xdr:to>
    <xdr:sp macro="" textlink="Pivots!B8">
      <xdr:nvSpPr>
        <xdr:cNvPr id="12" name="TextBox 11">
          <a:extLst>
            <a:ext uri="{FF2B5EF4-FFF2-40B4-BE49-F238E27FC236}">
              <a16:creationId xmlns:a16="http://schemas.microsoft.com/office/drawing/2014/main" id="{B763269F-5659-40A4-8608-10984EAB685E}"/>
            </a:ext>
          </a:extLst>
        </xdr:cNvPr>
        <xdr:cNvSpPr txBox="1"/>
      </xdr:nvSpPr>
      <xdr:spPr>
        <a:xfrm>
          <a:off x="626148" y="2385773"/>
          <a:ext cx="70944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63575-513F-46DC-9516-73C4B520CEFF}" type="TxLink">
            <a:rPr lang="en-US" sz="1100" b="0" i="0" u="none" strike="noStrike">
              <a:solidFill>
                <a:schemeClr val="bg1">
                  <a:lumMod val="95000"/>
                </a:schemeClr>
              </a:solidFill>
              <a:latin typeface="Calibri"/>
              <a:ea typeface="Calibri"/>
              <a:cs typeface="Calibri"/>
            </a:rPr>
            <a:pPr algn="ctr"/>
            <a:t>$96,623</a:t>
          </a:fld>
          <a:endParaRPr lang="en-IN" sz="1100" b="0">
            <a:solidFill>
              <a:schemeClr val="bg1">
                <a:lumMod val="95000"/>
              </a:schemeClr>
            </a:solidFill>
          </a:endParaRPr>
        </a:p>
      </xdr:txBody>
    </xdr:sp>
    <xdr:clientData/>
  </xdr:twoCellAnchor>
  <xdr:twoCellAnchor>
    <xdr:from>
      <xdr:col>2</xdr:col>
      <xdr:colOff>0</xdr:colOff>
      <xdr:row>16</xdr:row>
      <xdr:rowOff>177362</xdr:rowOff>
    </xdr:from>
    <xdr:to>
      <xdr:col>3</xdr:col>
      <xdr:colOff>567027</xdr:colOff>
      <xdr:row>21</xdr:row>
      <xdr:rowOff>158893</xdr:rowOff>
    </xdr:to>
    <xdr:sp macro="" textlink="Pivots!C4">
      <xdr:nvSpPr>
        <xdr:cNvPr id="13" name="Rectangle 12">
          <a:extLst>
            <a:ext uri="{FF2B5EF4-FFF2-40B4-BE49-F238E27FC236}">
              <a16:creationId xmlns:a16="http://schemas.microsoft.com/office/drawing/2014/main" id="{949C8D9A-94E2-4E49-8FF3-EEB61CE923B3}"/>
            </a:ext>
          </a:extLst>
        </xdr:cNvPr>
        <xdr:cNvSpPr/>
      </xdr:nvSpPr>
      <xdr:spPr>
        <a:xfrm>
          <a:off x="361293" y="3120259"/>
          <a:ext cx="1243631" cy="9011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DAB90E-22A7-4D97-A52E-DF85CE5E8744}" type="TxLink">
            <a:rPr lang="en-US" sz="1100" b="0" i="0" u="none" strike="noStrike">
              <a:solidFill>
                <a:schemeClr val="bg1"/>
              </a:solidFill>
              <a:latin typeface="Arial Black" panose="020B0A04020102020204" pitchFamily="34" charset="0"/>
              <a:ea typeface="Calibri"/>
              <a:cs typeface="Calibri"/>
            </a:rPr>
            <a:pPr marL="0" indent="0" algn="ctr"/>
            <a:t>89,850</a:t>
          </a:fld>
          <a:endParaRPr lang="en-IN" sz="11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xdr:col>
      <xdr:colOff>323784</xdr:colOff>
      <xdr:row>17</xdr:row>
      <xdr:rowOff>180790</xdr:rowOff>
    </xdr:from>
    <xdr:to>
      <xdr:col>3</xdr:col>
      <xdr:colOff>381000</xdr:colOff>
      <xdr:row>18</xdr:row>
      <xdr:rowOff>170793</xdr:rowOff>
    </xdr:to>
    <xdr:sp macro="" textlink="">
      <xdr:nvSpPr>
        <xdr:cNvPr id="14" name="TextBox 13">
          <a:extLst>
            <a:ext uri="{FF2B5EF4-FFF2-40B4-BE49-F238E27FC236}">
              <a16:creationId xmlns:a16="http://schemas.microsoft.com/office/drawing/2014/main" id="{A230C422-0F66-45AE-BC9B-9C81030894BE}"/>
            </a:ext>
          </a:extLst>
        </xdr:cNvPr>
        <xdr:cNvSpPr txBox="1"/>
      </xdr:nvSpPr>
      <xdr:spPr>
        <a:xfrm>
          <a:off x="685077" y="3307618"/>
          <a:ext cx="733820" cy="173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bg1">
                  <a:lumMod val="95000"/>
                </a:schemeClr>
              </a:solidFill>
              <a:latin typeface="Arial" panose="020B0604020202020204" pitchFamily="34" charset="0"/>
              <a:cs typeface="Arial" panose="020B0604020202020204" pitchFamily="34" charset="0"/>
            </a:rPr>
            <a:t>Durations</a:t>
          </a:r>
        </a:p>
      </xdr:txBody>
    </xdr:sp>
    <xdr:clientData/>
  </xdr:twoCellAnchor>
  <xdr:twoCellAnchor>
    <xdr:from>
      <xdr:col>2</xdr:col>
      <xdr:colOff>277993</xdr:colOff>
      <xdr:row>20</xdr:row>
      <xdr:rowOff>47221</xdr:rowOff>
    </xdr:from>
    <xdr:to>
      <xdr:col>3</xdr:col>
      <xdr:colOff>310837</xdr:colOff>
      <xdr:row>21</xdr:row>
      <xdr:rowOff>53790</xdr:rowOff>
    </xdr:to>
    <xdr:sp macro="" textlink="Pivots!C8">
      <xdr:nvSpPr>
        <xdr:cNvPr id="16" name="TextBox 15">
          <a:extLst>
            <a:ext uri="{FF2B5EF4-FFF2-40B4-BE49-F238E27FC236}">
              <a16:creationId xmlns:a16="http://schemas.microsoft.com/office/drawing/2014/main" id="{EEB0BA96-88E0-4E7A-980F-598917684593}"/>
            </a:ext>
          </a:extLst>
        </xdr:cNvPr>
        <xdr:cNvSpPr txBox="1"/>
      </xdr:nvSpPr>
      <xdr:spPr>
        <a:xfrm>
          <a:off x="639286" y="3725842"/>
          <a:ext cx="70944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1DBDBB-4390-4CA6-A57B-8D716457FB61}" type="TxLink">
            <a:rPr lang="en-US" sz="1100" b="0" i="0" u="none" strike="noStrike">
              <a:solidFill>
                <a:schemeClr val="bg1">
                  <a:lumMod val="95000"/>
                </a:schemeClr>
              </a:solidFill>
              <a:latin typeface="Calibri"/>
              <a:ea typeface="Calibri"/>
              <a:cs typeface="Calibri"/>
            </a:rPr>
            <a:pPr algn="ctr"/>
            <a:t>89,850</a:t>
          </a:fld>
          <a:endParaRPr lang="en-IN" sz="1100" b="0">
            <a:solidFill>
              <a:schemeClr val="bg1">
                <a:lumMod val="95000"/>
              </a:schemeClr>
            </a:solidFill>
          </a:endParaRPr>
        </a:p>
      </xdr:txBody>
    </xdr:sp>
    <xdr:clientData/>
  </xdr:twoCellAnchor>
  <xdr:twoCellAnchor>
    <xdr:from>
      <xdr:col>2</xdr:col>
      <xdr:colOff>21020</xdr:colOff>
      <xdr:row>23</xdr:row>
      <xdr:rowOff>132693</xdr:rowOff>
    </xdr:from>
    <xdr:to>
      <xdr:col>3</xdr:col>
      <xdr:colOff>588047</xdr:colOff>
      <xdr:row>28</xdr:row>
      <xdr:rowOff>114224</xdr:rowOff>
    </xdr:to>
    <xdr:sp macro="" textlink="Pivots!D4">
      <xdr:nvSpPr>
        <xdr:cNvPr id="17" name="Rectangle 16">
          <a:extLst>
            <a:ext uri="{FF2B5EF4-FFF2-40B4-BE49-F238E27FC236}">
              <a16:creationId xmlns:a16="http://schemas.microsoft.com/office/drawing/2014/main" id="{FFBF3F90-E198-4D75-8124-9ED9062A2391}"/>
            </a:ext>
          </a:extLst>
        </xdr:cNvPr>
        <xdr:cNvSpPr/>
      </xdr:nvSpPr>
      <xdr:spPr>
        <a:xfrm>
          <a:off x="382313" y="4363107"/>
          <a:ext cx="1243631" cy="9011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FC0D5C3-8782-40C5-BB1D-83E01B081BD2}" type="TxLink">
            <a:rPr lang="en-US" sz="1100" b="0" i="0" u="none" strike="noStrike">
              <a:solidFill>
                <a:schemeClr val="bg1"/>
              </a:solidFill>
              <a:latin typeface="Arial Black" panose="020B0A04020102020204" pitchFamily="34" charset="0"/>
              <a:ea typeface="Calibri"/>
              <a:cs typeface="Calibri"/>
            </a:rPr>
            <a:pPr marL="0" indent="0" algn="ctr"/>
            <a:t>3.9</a:t>
          </a:fld>
          <a:endParaRPr lang="en-IN" sz="11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xdr:col>
      <xdr:colOff>311959</xdr:colOff>
      <xdr:row>24</xdr:row>
      <xdr:rowOff>136120</xdr:rowOff>
    </xdr:from>
    <xdr:to>
      <xdr:col>3</xdr:col>
      <xdr:colOff>512378</xdr:colOff>
      <xdr:row>25</xdr:row>
      <xdr:rowOff>98534</xdr:rowOff>
    </xdr:to>
    <xdr:sp macro="" textlink="">
      <xdr:nvSpPr>
        <xdr:cNvPr id="18" name="TextBox 17">
          <a:extLst>
            <a:ext uri="{FF2B5EF4-FFF2-40B4-BE49-F238E27FC236}">
              <a16:creationId xmlns:a16="http://schemas.microsoft.com/office/drawing/2014/main" id="{32AF0D3F-855F-4695-BA6F-7392A43E9100}"/>
            </a:ext>
          </a:extLst>
        </xdr:cNvPr>
        <xdr:cNvSpPr txBox="1"/>
      </xdr:nvSpPr>
      <xdr:spPr>
        <a:xfrm>
          <a:off x="673252" y="4550465"/>
          <a:ext cx="877023" cy="146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bg1">
                  <a:lumMod val="95000"/>
                </a:schemeClr>
              </a:solidFill>
              <a:latin typeface="Arial" panose="020B0604020202020204" pitchFamily="34" charset="0"/>
              <a:cs typeface="Arial" panose="020B0604020202020204" pitchFamily="34" charset="0"/>
            </a:rPr>
            <a:t>Avg.Ratings</a:t>
          </a:r>
        </a:p>
      </xdr:txBody>
    </xdr:sp>
    <xdr:clientData/>
  </xdr:twoCellAnchor>
  <xdr:twoCellAnchor editAs="oneCell">
    <xdr:from>
      <xdr:col>6</xdr:col>
      <xdr:colOff>528738</xdr:colOff>
      <xdr:row>24</xdr:row>
      <xdr:rowOff>129554</xdr:rowOff>
    </xdr:from>
    <xdr:to>
      <xdr:col>7</xdr:col>
      <xdr:colOff>61386</xdr:colOff>
      <xdr:row>25</xdr:row>
      <xdr:rowOff>90899</xdr:rowOff>
    </xdr:to>
    <xdr:pic>
      <xdr:nvPicPr>
        <xdr:cNvPr id="19" name="Graphic 18" descr="Receiver with solid fill">
          <a:extLst>
            <a:ext uri="{FF2B5EF4-FFF2-40B4-BE49-F238E27FC236}">
              <a16:creationId xmlns:a16="http://schemas.microsoft.com/office/drawing/2014/main" id="{69484D90-3C3A-4435-9177-3B1B4F1C12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99376" y="4543899"/>
          <a:ext cx="143562" cy="145276"/>
        </a:xfrm>
        <a:prstGeom prst="rect">
          <a:avLst/>
        </a:prstGeom>
      </xdr:spPr>
    </xdr:pic>
    <xdr:clientData/>
  </xdr:twoCellAnchor>
  <xdr:twoCellAnchor>
    <xdr:from>
      <xdr:col>2</xdr:col>
      <xdr:colOff>266168</xdr:colOff>
      <xdr:row>27</xdr:row>
      <xdr:rowOff>2552</xdr:rowOff>
    </xdr:from>
    <xdr:to>
      <xdr:col>3</xdr:col>
      <xdr:colOff>299012</xdr:colOff>
      <xdr:row>28</xdr:row>
      <xdr:rowOff>9121</xdr:rowOff>
    </xdr:to>
    <xdr:sp macro="" textlink="Pivots!D8">
      <xdr:nvSpPr>
        <xdr:cNvPr id="20" name="TextBox 19">
          <a:extLst>
            <a:ext uri="{FF2B5EF4-FFF2-40B4-BE49-F238E27FC236}">
              <a16:creationId xmlns:a16="http://schemas.microsoft.com/office/drawing/2014/main" id="{6EB99BFC-2917-4A8A-BF17-EF6899F0F86A}"/>
            </a:ext>
          </a:extLst>
        </xdr:cNvPr>
        <xdr:cNvSpPr txBox="1"/>
      </xdr:nvSpPr>
      <xdr:spPr>
        <a:xfrm>
          <a:off x="627461" y="4968690"/>
          <a:ext cx="70944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21F382-9C41-4395-BFAE-F1B6318C59E2}" type="TxLink">
            <a:rPr lang="en-US" sz="1100" b="0" i="0" u="none" strike="noStrike">
              <a:solidFill>
                <a:schemeClr val="bg1">
                  <a:lumMod val="95000"/>
                </a:schemeClr>
              </a:solidFill>
              <a:latin typeface="Calibri"/>
              <a:ea typeface="Calibri"/>
              <a:cs typeface="Calibri"/>
            </a:rPr>
            <a:pPr algn="ctr"/>
            <a:t>3.9</a:t>
          </a:fld>
          <a:endParaRPr lang="en-IN" sz="1100" b="0">
            <a:solidFill>
              <a:schemeClr val="bg1">
                <a:lumMod val="95000"/>
              </a:schemeClr>
            </a:solidFill>
          </a:endParaRPr>
        </a:p>
      </xdr:txBody>
    </xdr:sp>
    <xdr:clientData/>
  </xdr:twoCellAnchor>
  <xdr:twoCellAnchor>
    <xdr:from>
      <xdr:col>1</xdr:col>
      <xdr:colOff>160281</xdr:colOff>
      <xdr:row>30</xdr:row>
      <xdr:rowOff>147145</xdr:rowOff>
    </xdr:from>
    <xdr:to>
      <xdr:col>3</xdr:col>
      <xdr:colOff>549946</xdr:colOff>
      <xdr:row>35</xdr:row>
      <xdr:rowOff>128676</xdr:rowOff>
    </xdr:to>
    <xdr:sp macro="" textlink="Pivots!E4">
      <xdr:nvSpPr>
        <xdr:cNvPr id="21" name="Rectangle 20">
          <a:extLst>
            <a:ext uri="{FF2B5EF4-FFF2-40B4-BE49-F238E27FC236}">
              <a16:creationId xmlns:a16="http://schemas.microsoft.com/office/drawing/2014/main" id="{2D21C2FD-D6E0-4833-A8E3-1EA96A28B6CE}"/>
            </a:ext>
          </a:extLst>
        </xdr:cNvPr>
        <xdr:cNvSpPr/>
      </xdr:nvSpPr>
      <xdr:spPr>
        <a:xfrm>
          <a:off x="344212" y="5665076"/>
          <a:ext cx="1243631" cy="90118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7D3F12F-415D-462B-9B0D-5820A37F9826}" type="TxLink">
            <a:rPr lang="en-US" sz="1100" b="0" i="0" u="none" strike="noStrike">
              <a:solidFill>
                <a:schemeClr val="bg1"/>
              </a:solidFill>
              <a:latin typeface="Arial Black" panose="020B0A04020102020204" pitchFamily="34" charset="0"/>
              <a:ea typeface="Calibri"/>
              <a:cs typeface="Calibri"/>
            </a:rPr>
            <a:pPr marL="0" indent="0" algn="ctr"/>
            <a:t>307</a:t>
          </a:fld>
          <a:endParaRPr lang="en-IN" sz="11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xdr:col>
      <xdr:colOff>135910</xdr:colOff>
      <xdr:row>31</xdr:row>
      <xdr:rowOff>150573</xdr:rowOff>
    </xdr:from>
    <xdr:to>
      <xdr:col>3</xdr:col>
      <xdr:colOff>459827</xdr:colOff>
      <xdr:row>32</xdr:row>
      <xdr:rowOff>98535</xdr:rowOff>
    </xdr:to>
    <xdr:sp macro="" textlink="">
      <xdr:nvSpPr>
        <xdr:cNvPr id="22" name="TextBox 21">
          <a:extLst>
            <a:ext uri="{FF2B5EF4-FFF2-40B4-BE49-F238E27FC236}">
              <a16:creationId xmlns:a16="http://schemas.microsoft.com/office/drawing/2014/main" id="{0E935F0C-0D6B-4920-89BE-8C39C6246A3F}"/>
            </a:ext>
          </a:extLst>
        </xdr:cNvPr>
        <xdr:cNvSpPr txBox="1"/>
      </xdr:nvSpPr>
      <xdr:spPr>
        <a:xfrm>
          <a:off x="497203" y="5852435"/>
          <a:ext cx="1000521" cy="13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bg1">
                  <a:lumMod val="95000"/>
                </a:schemeClr>
              </a:solidFill>
              <a:latin typeface="Arial" panose="020B0604020202020204" pitchFamily="34" charset="0"/>
              <a:cs typeface="Arial" panose="020B0604020202020204" pitchFamily="34" charset="0"/>
            </a:rPr>
            <a:t>Happy Callers</a:t>
          </a:r>
        </a:p>
      </xdr:txBody>
    </xdr:sp>
    <xdr:clientData/>
  </xdr:twoCellAnchor>
  <xdr:twoCellAnchor>
    <xdr:from>
      <xdr:col>2</xdr:col>
      <xdr:colOff>260912</xdr:colOff>
      <xdr:row>34</xdr:row>
      <xdr:rowOff>17004</xdr:rowOff>
    </xdr:from>
    <xdr:to>
      <xdr:col>3</xdr:col>
      <xdr:colOff>293756</xdr:colOff>
      <xdr:row>35</xdr:row>
      <xdr:rowOff>23573</xdr:rowOff>
    </xdr:to>
    <xdr:sp macro="" textlink="Pivots!E8">
      <xdr:nvSpPr>
        <xdr:cNvPr id="24" name="TextBox 23">
          <a:extLst>
            <a:ext uri="{FF2B5EF4-FFF2-40B4-BE49-F238E27FC236}">
              <a16:creationId xmlns:a16="http://schemas.microsoft.com/office/drawing/2014/main" id="{18756555-ADB0-429F-971A-D20C6B4C3B01}"/>
            </a:ext>
          </a:extLst>
        </xdr:cNvPr>
        <xdr:cNvSpPr txBox="1"/>
      </xdr:nvSpPr>
      <xdr:spPr>
        <a:xfrm>
          <a:off x="622205" y="6270659"/>
          <a:ext cx="70944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428FED-EBCB-45EF-9A47-7CF0EDDA8671}" type="TxLink">
            <a:rPr lang="en-US" sz="1100" b="0" i="0" u="none" strike="noStrike">
              <a:solidFill>
                <a:schemeClr val="bg1">
                  <a:lumMod val="95000"/>
                </a:schemeClr>
              </a:solidFill>
              <a:latin typeface="Calibri"/>
              <a:ea typeface="Calibri"/>
              <a:cs typeface="Calibri"/>
            </a:rPr>
            <a:pPr algn="ctr"/>
            <a:t>307</a:t>
          </a:fld>
          <a:endParaRPr lang="en-IN" sz="1100" b="0">
            <a:solidFill>
              <a:schemeClr val="bg1">
                <a:lumMod val="95000"/>
              </a:schemeClr>
            </a:solidFill>
          </a:endParaRPr>
        </a:p>
      </xdr:txBody>
    </xdr:sp>
    <xdr:clientData/>
  </xdr:twoCellAnchor>
  <xdr:twoCellAnchor editAs="oneCell">
    <xdr:from>
      <xdr:col>2</xdr:col>
      <xdr:colOff>45982</xdr:colOff>
      <xdr:row>10</xdr:row>
      <xdr:rowOff>131381</xdr:rowOff>
    </xdr:from>
    <xdr:to>
      <xdr:col>2</xdr:col>
      <xdr:colOff>216776</xdr:colOff>
      <xdr:row>11</xdr:row>
      <xdr:rowOff>112028</xdr:rowOff>
    </xdr:to>
    <xdr:pic>
      <xdr:nvPicPr>
        <xdr:cNvPr id="27" name="Graphic 26" descr="Shopping cart with solid fill">
          <a:extLst>
            <a:ext uri="{FF2B5EF4-FFF2-40B4-BE49-F238E27FC236}">
              <a16:creationId xmlns:a16="http://schemas.microsoft.com/office/drawing/2014/main" id="{8C715DB9-98D2-4B0A-8272-59C38B761F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7275" y="1970691"/>
          <a:ext cx="170794" cy="164579"/>
        </a:xfrm>
        <a:prstGeom prst="rect">
          <a:avLst/>
        </a:prstGeom>
      </xdr:spPr>
    </xdr:pic>
    <xdr:clientData/>
  </xdr:twoCellAnchor>
  <xdr:twoCellAnchor editAs="oneCell">
    <xdr:from>
      <xdr:col>2</xdr:col>
      <xdr:colOff>52551</xdr:colOff>
      <xdr:row>17</xdr:row>
      <xdr:rowOff>170793</xdr:rowOff>
    </xdr:from>
    <xdr:to>
      <xdr:col>2</xdr:col>
      <xdr:colOff>225441</xdr:colOff>
      <xdr:row>18</xdr:row>
      <xdr:rowOff>157656</xdr:rowOff>
    </xdr:to>
    <xdr:pic>
      <xdr:nvPicPr>
        <xdr:cNvPr id="28" name="Graphic 27" descr="Hourglass Finished with solid fill">
          <a:extLst>
            <a:ext uri="{FF2B5EF4-FFF2-40B4-BE49-F238E27FC236}">
              <a16:creationId xmlns:a16="http://schemas.microsoft.com/office/drawing/2014/main" id="{63840506-A7F4-4F9C-A2D4-7E66B26EFFC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3844" y="3297621"/>
          <a:ext cx="172890" cy="170793"/>
        </a:xfrm>
        <a:prstGeom prst="rect">
          <a:avLst/>
        </a:prstGeom>
      </xdr:spPr>
    </xdr:pic>
    <xdr:clientData/>
  </xdr:twoCellAnchor>
  <xdr:twoCellAnchor editAs="oneCell">
    <xdr:from>
      <xdr:col>2</xdr:col>
      <xdr:colOff>67002</xdr:colOff>
      <xdr:row>24</xdr:row>
      <xdr:rowOff>86712</xdr:rowOff>
    </xdr:from>
    <xdr:to>
      <xdr:col>2</xdr:col>
      <xdr:colOff>295603</xdr:colOff>
      <xdr:row>25</xdr:row>
      <xdr:rowOff>125860</xdr:rowOff>
    </xdr:to>
    <xdr:pic>
      <xdr:nvPicPr>
        <xdr:cNvPr id="29" name="Graphic 28" descr="Rating Star with solid fill">
          <a:extLst>
            <a:ext uri="{FF2B5EF4-FFF2-40B4-BE49-F238E27FC236}">
              <a16:creationId xmlns:a16="http://schemas.microsoft.com/office/drawing/2014/main" id="{93E6B182-B2A4-4F2F-9E7B-4F9E6663FE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28295" y="4501057"/>
          <a:ext cx="228601" cy="223079"/>
        </a:xfrm>
        <a:prstGeom prst="rect">
          <a:avLst/>
        </a:prstGeom>
      </xdr:spPr>
    </xdr:pic>
    <xdr:clientData/>
  </xdr:twoCellAnchor>
  <xdr:twoCellAnchor editAs="oneCell">
    <xdr:from>
      <xdr:col>1</xdr:col>
      <xdr:colOff>166852</xdr:colOff>
      <xdr:row>31</xdr:row>
      <xdr:rowOff>127438</xdr:rowOff>
    </xdr:from>
    <xdr:to>
      <xdr:col>2</xdr:col>
      <xdr:colOff>182034</xdr:colOff>
      <xdr:row>32</xdr:row>
      <xdr:rowOff>131380</xdr:rowOff>
    </xdr:to>
    <xdr:pic>
      <xdr:nvPicPr>
        <xdr:cNvPr id="30" name="Graphic 29" descr="Star-struck face outline with solid fill">
          <a:extLst>
            <a:ext uri="{FF2B5EF4-FFF2-40B4-BE49-F238E27FC236}">
              <a16:creationId xmlns:a16="http://schemas.microsoft.com/office/drawing/2014/main" id="{87E1B6F9-AC7D-4B90-A8DB-F74BF54D951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50783" y="5829300"/>
          <a:ext cx="192544" cy="187873"/>
        </a:xfrm>
        <a:prstGeom prst="rect">
          <a:avLst/>
        </a:prstGeom>
      </xdr:spPr>
    </xdr:pic>
    <xdr:clientData/>
  </xdr:twoCellAnchor>
  <xdr:twoCellAnchor>
    <xdr:from>
      <xdr:col>12</xdr:col>
      <xdr:colOff>475307</xdr:colOff>
      <xdr:row>15</xdr:row>
      <xdr:rowOff>113169</xdr:rowOff>
    </xdr:from>
    <xdr:to>
      <xdr:col>16</xdr:col>
      <xdr:colOff>558297</xdr:colOff>
      <xdr:row>25</xdr:row>
      <xdr:rowOff>173526</xdr:rowOff>
    </xdr:to>
    <xdr:graphicFrame macro="">
      <xdr:nvGraphicFramePr>
        <xdr:cNvPr id="4" name="Chart 3">
          <a:extLst>
            <a:ext uri="{FF2B5EF4-FFF2-40B4-BE49-F238E27FC236}">
              <a16:creationId xmlns:a16="http://schemas.microsoft.com/office/drawing/2014/main" id="{35479410-AE4A-4041-B579-85CB49A50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151087</xdr:colOff>
      <xdr:row>2</xdr:row>
      <xdr:rowOff>164224</xdr:rowOff>
    </xdr:from>
    <xdr:to>
      <xdr:col>11</xdr:col>
      <xdr:colOff>262760</xdr:colOff>
      <xdr:row>14</xdr:row>
      <xdr:rowOff>118242</xdr:rowOff>
    </xdr:to>
    <xdr:graphicFrame macro="">
      <xdr:nvGraphicFramePr>
        <xdr:cNvPr id="31" name="Chart 30">
          <a:extLst>
            <a:ext uri="{FF2B5EF4-FFF2-40B4-BE49-F238E27FC236}">
              <a16:creationId xmlns:a16="http://schemas.microsoft.com/office/drawing/2014/main" id="{94050420-08F7-490A-92DE-B2E72A789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94180</xdr:colOff>
      <xdr:row>15</xdr:row>
      <xdr:rowOff>102741</xdr:rowOff>
    </xdr:from>
    <xdr:to>
      <xdr:col>11</xdr:col>
      <xdr:colOff>436652</xdr:colOff>
      <xdr:row>35</xdr:row>
      <xdr:rowOff>94179</xdr:rowOff>
    </xdr:to>
    <xdr:sp macro="" textlink="">
      <xdr:nvSpPr>
        <xdr:cNvPr id="11" name="Rectangle 10">
          <a:extLst>
            <a:ext uri="{FF2B5EF4-FFF2-40B4-BE49-F238E27FC236}">
              <a16:creationId xmlns:a16="http://schemas.microsoft.com/office/drawing/2014/main" id="{0351E58D-AE8D-5EED-64BE-A9A20AF36E43}"/>
            </a:ext>
          </a:extLst>
        </xdr:cNvPr>
        <xdr:cNvSpPr/>
      </xdr:nvSpPr>
      <xdr:spPr>
        <a:xfrm>
          <a:off x="1729483" y="2799707"/>
          <a:ext cx="4597686" cy="35873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95973</xdr:colOff>
      <xdr:row>15</xdr:row>
      <xdr:rowOff>111306</xdr:rowOff>
    </xdr:from>
    <xdr:to>
      <xdr:col>8</xdr:col>
      <xdr:colOff>488022</xdr:colOff>
      <xdr:row>35</xdr:row>
      <xdr:rowOff>67902</xdr:rowOff>
    </xdr:to>
    <xdr:graphicFrame macro="">
      <xdr:nvGraphicFramePr>
        <xdr:cNvPr id="6" name="Chart 5">
          <a:extLst>
            <a:ext uri="{FF2B5EF4-FFF2-40B4-BE49-F238E27FC236}">
              <a16:creationId xmlns:a16="http://schemas.microsoft.com/office/drawing/2014/main" id="{A2F65786-1E7A-49CB-BDCA-C1BDA1524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527512</xdr:colOff>
      <xdr:row>15</xdr:row>
      <xdr:rowOff>102741</xdr:rowOff>
    </xdr:from>
    <xdr:to>
      <xdr:col>12</xdr:col>
      <xdr:colOff>396132</xdr:colOff>
      <xdr:row>35</xdr:row>
      <xdr:rowOff>85617</xdr:rowOff>
    </xdr:to>
    <xdr:graphicFrame macro="">
      <xdr:nvGraphicFramePr>
        <xdr:cNvPr id="5" name="Chart 4">
          <a:extLst>
            <a:ext uri="{FF2B5EF4-FFF2-40B4-BE49-F238E27FC236}">
              <a16:creationId xmlns:a16="http://schemas.microsoft.com/office/drawing/2014/main" id="{3359FA9F-22D0-4112-A564-A0788249C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452756</xdr:colOff>
      <xdr:row>26</xdr:row>
      <xdr:rowOff>37724</xdr:rowOff>
    </xdr:from>
    <xdr:to>
      <xdr:col>16</xdr:col>
      <xdr:colOff>558297</xdr:colOff>
      <xdr:row>35</xdr:row>
      <xdr:rowOff>82990</xdr:rowOff>
    </xdr:to>
    <mc:AlternateContent xmlns:mc="http://schemas.openxmlformats.org/markup-compatibility/2006">
      <mc:Choice xmlns:a14="http://schemas.microsoft.com/office/drawing/2010/main" Requires="a14">
        <xdr:graphicFrame macro="">
          <xdr:nvGraphicFramePr>
            <xdr:cNvPr id="15" name="Representative 1">
              <a:extLst>
                <a:ext uri="{FF2B5EF4-FFF2-40B4-BE49-F238E27FC236}">
                  <a16:creationId xmlns:a16="http://schemas.microsoft.com/office/drawing/2014/main" id="{F7247F08-8EB1-4643-91DF-C64F2762BAEB}"/>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986340" y="4888873"/>
              <a:ext cx="2549977" cy="1674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344678</xdr:colOff>
      <xdr:row>2</xdr:row>
      <xdr:rowOff>147584</xdr:rowOff>
    </xdr:from>
    <xdr:to>
      <xdr:col>16</xdr:col>
      <xdr:colOff>580930</xdr:colOff>
      <xdr:row>14</xdr:row>
      <xdr:rowOff>113168</xdr:rowOff>
    </xdr:to>
    <xdr:graphicFrame macro="">
      <xdr:nvGraphicFramePr>
        <xdr:cNvPr id="23" name="Chart 22">
          <a:extLst>
            <a:ext uri="{FF2B5EF4-FFF2-40B4-BE49-F238E27FC236}">
              <a16:creationId xmlns:a16="http://schemas.microsoft.com/office/drawing/2014/main" id="{E88E65B9-29CB-4003-8693-CCC180FC8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22633</xdr:colOff>
      <xdr:row>2</xdr:row>
      <xdr:rowOff>162673</xdr:rowOff>
    </xdr:from>
    <xdr:to>
      <xdr:col>24</xdr:col>
      <xdr:colOff>1</xdr:colOff>
      <xdr:row>14</xdr:row>
      <xdr:rowOff>94179</xdr:rowOff>
    </xdr:to>
    <xdr:graphicFrame macro="">
      <xdr:nvGraphicFramePr>
        <xdr:cNvPr id="26" name="Chart 25">
          <a:extLst>
            <a:ext uri="{FF2B5EF4-FFF2-40B4-BE49-F238E27FC236}">
              <a16:creationId xmlns:a16="http://schemas.microsoft.com/office/drawing/2014/main" id="{CC8453D2-FCC5-4B97-B754-A5D1F644B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483879050924" backgroundQuery="1" createdVersion="8" refreshedVersion="8" minRefreshableVersion="3" recordCount="0" supportSubquery="1" supportAdvancedDrill="1" xr:uid="{409E1865-4BB1-4569-AA5A-B25DEC23B334}">
  <cacheSource type="external" connectionId="1"/>
  <cacheFields count="3">
    <cacheField name="[calls].[Representative].[Representative]" caption="Representative" numFmtId="0" hierarchy="3" level="1">
      <sharedItems count="5">
        <s v="R01"/>
        <s v="R02"/>
        <s v="R03"/>
        <s v="R04"/>
        <s v="R05"/>
      </sharedItems>
    </cacheField>
    <cacheField name="[Measures].[Call Counts]" caption="Call Counts"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19901967593" backgroundQuery="1" createdVersion="8" refreshedVersion="8" minRefreshableVersion="3" recordCount="0" supportSubquery="1" supportAdvancedDrill="1" xr:uid="{7C468C03-4D94-47F3-B4A6-AE5534F0C1B8}">
  <cacheSource type="external" connectionId="1"/>
  <cacheFields count="3">
    <cacheField name="[Measures].[Call Counts]" caption="Call Counts" numFmtId="0" hierarchy="17"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89001273147" backgroundQuery="1" createdVersion="8" refreshedVersion="8" minRefreshableVersion="3" recordCount="0" supportSubquery="1" supportAdvancedDrill="1" xr:uid="{EB3887C1-793A-4391-9515-DDCE74FD0269}">
  <cacheSource type="external" connectionId="1"/>
  <cacheFields count="1">
    <cacheField name="[calls].[Representative].[Representative]" caption="Representative" numFmtId="0" hierarchy="3" level="1">
      <sharedItems count="5">
        <s v="R01"/>
        <s v="R02"/>
        <s v="R03"/>
        <s v="R04"/>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90027546299" backgroundQuery="1" createdVersion="8" refreshedVersion="8" minRefreshableVersion="3" recordCount="0" supportSubquery="1" supportAdvancedDrill="1" xr:uid="{08EBAAE0-EDED-42DB-A1E8-9B8508B6F934}">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91743865742" backgroundQuery="1" createdVersion="8" refreshedVersion="8" minRefreshableVersion="3" recordCount="0" supportSubquery="1" supportAdvancedDrill="1" xr:uid="{56119A61-A9D1-402F-8EB8-AC13DCE882E8}">
  <cacheSource type="external" connectionId="1"/>
  <cacheFields count="5">
    <cacheField name="[Measures].[Call Counts]" caption="Call Counts" numFmtId="0" hierarchy="17" level="32767"/>
    <cacheField name="[Measures].[Total Amount]" caption="Total Amount" numFmtId="0" hierarchy="18" level="32767"/>
    <cacheField name="[Measures].[Total Durations]" caption="Total Durations" numFmtId="0" hierarchy="19" level="32767"/>
    <cacheField name="[Measures].[Avg Ratings]" caption="Avg Ratings" numFmtId="0" hierarchy="20" level="32767"/>
    <cacheField name="[Measures].[5*call]" caption="5*call"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s]" caption="Total Durations" measure="1" displayFolder="" measureGroup="calls" count="0" oneField="1">
      <fieldsUsage count="1">
        <fieldUsage x="2"/>
      </fieldsUsage>
    </cacheHierarchy>
    <cacheHierarchy uniqueName="[Measures].[Avg Ratings]" caption="Avg Ratings" measure="1" displayFolder="" measureGroup="calls" count="0" oneField="1">
      <fieldsUsage count="1">
        <fieldUsage x="3"/>
      </fieldsUsage>
    </cacheHierarchy>
    <cacheHierarchy uniqueName="[Measures].[5*call]" caption="5*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9174502315" backgroundQuery="1" createdVersion="8" refreshedVersion="8" minRefreshableVersion="3" recordCount="0" supportSubquery="1" supportAdvancedDrill="1" xr:uid="{569BD9AD-D74A-47D0-9569-5829E614D53A}">
  <cacheSource type="external" connectionId="1"/>
  <cacheFields count="4">
    <cacheField name="[calls].[Date of Call].[Date of Call]" caption="Date of Call" numFmtId="0" hierarchy="4" level="1">
      <sharedItems containsSemiMixedTypes="0" containsNonDate="0" containsDate="1" containsString="0" minDate="2023-12-02T00:00:00" maxDate="2023-12-30T00:00:00" count="9">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s]" caption="Call Counts"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91746527774" backgroundQuery="1" createdVersion="8" refreshedVersion="8" minRefreshableVersion="3" recordCount="0" supportSubquery="1" supportAdvancedDrill="1" xr:uid="{028FB64B-9181-4AFA-BD1F-442D5F8A1100}">
  <cacheSource type="external" connectionId="1"/>
  <cacheFields count="2">
    <cacheField name="[Measures].[Call Counts]" caption="Call Counts"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91749421299" backgroundQuery="1" createdVersion="8" refreshedVersion="8" minRefreshableVersion="3" recordCount="0" supportSubquery="1" supportAdvancedDrill="1" xr:uid="{44CFF09F-B958-4D93-94D6-BA0CADB19CD4}">
  <cacheSource type="external" connectionId="1"/>
  <cacheFields count="2">
    <cacheField name="[calls].[Day of week].[Day of week]" caption="Day of week" numFmtId="0" hierarchy="8" level="1">
      <sharedItems count="7">
        <s v="Friday"/>
        <s v="Monday"/>
        <s v="Saturday"/>
        <s v="Sunday"/>
        <s v="Thursday"/>
        <s v="Tuesday"/>
        <s v="Wednesday"/>
      </sharedItems>
    </cacheField>
    <cacheField name="[Measures].[Call Counts]" caption="Call Counts"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591752083332" backgroundQuery="1" createdVersion="8" refreshedVersion="8" minRefreshableVersion="3" recordCount="0" supportSubquery="1" supportAdvancedDrill="1" xr:uid="{4A395F2F-16E3-48CC-B82C-96713DB7F546}">
  <cacheSource type="external" connectionId="1"/>
  <cacheFields count="5">
    <cacheField name="[Measures].[Call Counts]" caption="Call Counts" numFmtId="0" hierarchy="17" level="32767"/>
    <cacheField name="[Measures].[Total Amount]" caption="Total Amount" numFmtId="0" hierarchy="18" level="32767"/>
    <cacheField name="[Measures].[Total Durations]" caption="Total Durations" numFmtId="0" hierarchy="19" level="32767"/>
    <cacheField name="[Measures].[Avg Ratings]" caption="Avg Ratings" numFmtId="0" hierarchy="20" level="32767"/>
    <cacheField name="[Measures].[5*call]" caption="5*call"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s]" caption="Total Durations" measure="1" displayFolder="" measureGroup="calls" count="0" oneField="1">
      <fieldsUsage count="1">
        <fieldUsage x="2"/>
      </fieldsUsage>
    </cacheHierarchy>
    <cacheHierarchy uniqueName="[Measures].[Avg Ratings]" caption="Avg Ratings" measure="1" displayFolder="" measureGroup="calls" count="0" oneField="1">
      <fieldsUsage count="1">
        <fieldUsage x="3"/>
      </fieldsUsage>
    </cacheHierarchy>
    <cacheHierarchy uniqueName="[Measures].[5*call]" caption="5*call"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 Janvi" refreshedDate="46299.459546759259" backgroundQuery="1" createdVersion="3" refreshedVersion="8" minRefreshableVersion="3" recordCount="0" supportSubquery="1" supportAdvancedDrill="1" xr:uid="{2444995D-83AE-4459-B459-BC8AF3F3A90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s]" caption="Total Durations" measure="1" displayFolder="" measureGroup="calls" count="0"/>
    <cacheHierarchy uniqueName="[Measures].[Avg Ratings]" caption="Avg Ratings" measure="1" displayFolder="" measureGroup="calls" count="0"/>
    <cacheHierarchy uniqueName="[Measures].[5*call]" caption="5*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76972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CB2AC-177C-4308-880D-3CC05425AD15}" name="rep amount" cacheId="12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B81:H10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9B8B5-E820-44CA-B995-919B60344E28}" name="rep statisfaction" cacheId="3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70:C77"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F98C24-09CD-44F6-B75C-AE6885B982BA}" name="rep pivot" cacheId="3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A24B08-FE66-4304-9932-8A38EE7A411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61:G66"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21B8CA-6C69-4691-9262-69D06E857CA5}" name="summarypivot" cacheId="3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C2FD8D-EF9E-4ACC-A039-35F95B5F0290}" name="monthtrends" cacheId="3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3:C36" firstHeaderRow="0"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s2" fld="3" subtotal="count" baseField="0" baseItem="0">
      <extLst>
        <ext xmlns:x14="http://schemas.microsoft.com/office/spreadsheetml/2009/9/main" uri="{E15A36E0-9728-4e99-A89B-3F7291B0FE68}">
          <x14:dataField sourceField="2" uniqueName="[__Xl2].[Measures].[Call Counts]"/>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0D2284-7C77-4169-A25F-05550E3FFAC4}" name="selected reps"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1:A67"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formats count="2">
    <format dxfId="1">
      <pivotArea dataOnly="0" labelOnly="1" fieldPosition="0">
        <references count="1">
          <reference field="0" count="0"/>
        </references>
      </pivotArea>
    </format>
    <format dxfId="2">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699771-8D46-42EF-B084-75FCA7678C9E}" name="reppivot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C5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1670EB-7789-4838-BDDC-FF4B69EC9489}" name="weekly trends" cacheId="3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23:G31"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C2674BC-E221-4E9E-9528-0C37EF0975B4}" sourceName="[calls].[Representative]">
  <pivotTables>
    <pivotTable tabId="6" name="rep pivot"/>
    <pivotTable tabId="6" name="monthtrends"/>
    <pivotTable tabId="6" name="weekly trends"/>
    <pivotTable tabId="6" name="selected reps"/>
    <pivotTable tabId="6" name="rep statisfaction"/>
  </pivotTables>
  <data>
    <olap pivotCacheId="119769725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78B732B-7C56-408F-837F-9ADAFBD7B4CA}"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D6D5DFCF-7B4D-4AC5-8809-B140DC894087}" cache="Slicer_Representative" caption="Representative" level="1" style="SlicerStyleDark5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Britannic Bold"/>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topLeftCell="B1" zoomScale="115" zoomScaleNormal="115" workbookViewId="0">
      <selection activeCell="C19" sqref="C19"/>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7D876-0EF9-4CEF-8D3F-C0F0B5B1DDC3}">
  <dimension ref="A3:J100"/>
  <sheetViews>
    <sheetView topLeftCell="A11" workbookViewId="0">
      <selection activeCell="J63" sqref="J63"/>
    </sheetView>
  </sheetViews>
  <sheetFormatPr defaultRowHeight="14.4" x14ac:dyDescent="0.3"/>
  <cols>
    <col min="1" max="1" width="10.33203125" bestFit="1" customWidth="1"/>
    <col min="2" max="2" width="12.5546875" bestFit="1" customWidth="1"/>
    <col min="3" max="3" width="13.88671875" bestFit="1" customWidth="1"/>
    <col min="4" max="4" width="10.77734375" bestFit="1" customWidth="1"/>
    <col min="5" max="5" width="5.77734375" bestFit="1" customWidth="1"/>
    <col min="6" max="6" width="12.5546875" bestFit="1" customWidth="1"/>
    <col min="7" max="7" width="10.33203125" bestFit="1" customWidth="1"/>
    <col min="8" max="8" width="10.77734375" bestFit="1" customWidth="1"/>
    <col min="9" max="9" width="10.33203125" bestFit="1" customWidth="1"/>
    <col min="10" max="10" width="12.5546875" bestFit="1" customWidth="1"/>
    <col min="11" max="11" width="10.33203125" bestFit="1" customWidth="1"/>
    <col min="12" max="12" width="12.5546875" bestFit="1" customWidth="1"/>
    <col min="13" max="13" width="15.109375" bestFit="1" customWidth="1"/>
    <col min="14" max="14" width="17.44140625" bestFit="1" customWidth="1"/>
  </cols>
  <sheetData>
    <row r="3" spans="1:5" x14ac:dyDescent="0.3">
      <c r="A3" t="s">
        <v>1040</v>
      </c>
      <c r="B3" t="s">
        <v>1041</v>
      </c>
      <c r="C3" t="s">
        <v>1042</v>
      </c>
      <c r="D3" t="s">
        <v>1043</v>
      </c>
      <c r="E3" t="s">
        <v>1044</v>
      </c>
    </row>
    <row r="4" spans="1:5" x14ac:dyDescent="0.3">
      <c r="A4" s="21">
        <v>1000</v>
      </c>
      <c r="B4" s="22">
        <v>96623</v>
      </c>
      <c r="C4" s="21">
        <v>89850</v>
      </c>
      <c r="D4" s="23">
        <v>3.8854000000000033</v>
      </c>
      <c r="E4" s="21">
        <v>307</v>
      </c>
    </row>
    <row r="7" spans="1:5" x14ac:dyDescent="0.3">
      <c r="A7" t="s">
        <v>1040</v>
      </c>
      <c r="B7" t="s">
        <v>1041</v>
      </c>
      <c r="C7" t="s">
        <v>1042</v>
      </c>
      <c r="D7" t="s">
        <v>1043</v>
      </c>
      <c r="E7" t="s">
        <v>1044</v>
      </c>
    </row>
    <row r="8" spans="1:5" x14ac:dyDescent="0.3">
      <c r="A8" s="21">
        <v>1000</v>
      </c>
      <c r="B8" s="22">
        <v>96623</v>
      </c>
      <c r="C8" s="21">
        <v>89850</v>
      </c>
      <c r="D8" s="23">
        <v>3.8854000000000033</v>
      </c>
      <c r="E8" s="21">
        <v>307</v>
      </c>
    </row>
    <row r="23" spans="1:7" x14ac:dyDescent="0.3">
      <c r="A23" s="24" t="s">
        <v>1045</v>
      </c>
      <c r="B23" t="s">
        <v>1040</v>
      </c>
      <c r="C23" t="s">
        <v>1059</v>
      </c>
      <c r="F23" s="24" t="s">
        <v>1045</v>
      </c>
      <c r="G23" t="s">
        <v>1040</v>
      </c>
    </row>
    <row r="24" spans="1:7" x14ac:dyDescent="0.3">
      <c r="A24" s="25" t="s">
        <v>1054</v>
      </c>
      <c r="B24" s="21">
        <v>79</v>
      </c>
      <c r="C24" s="21">
        <v>79</v>
      </c>
      <c r="F24" s="25" t="s">
        <v>1063</v>
      </c>
      <c r="G24" s="21">
        <v>146</v>
      </c>
    </row>
    <row r="25" spans="1:7" x14ac:dyDescent="0.3">
      <c r="A25" s="25" t="s">
        <v>1057</v>
      </c>
      <c r="B25" s="21">
        <v>66</v>
      </c>
      <c r="C25" s="21">
        <v>66</v>
      </c>
      <c r="F25" s="25" t="s">
        <v>1061</v>
      </c>
      <c r="G25" s="21">
        <v>133</v>
      </c>
    </row>
    <row r="26" spans="1:7" x14ac:dyDescent="0.3">
      <c r="A26" s="25" t="s">
        <v>1050</v>
      </c>
      <c r="B26" s="21">
        <v>155</v>
      </c>
      <c r="C26" s="21">
        <v>155</v>
      </c>
      <c r="F26" s="25" t="s">
        <v>1065</v>
      </c>
      <c r="G26" s="21">
        <v>138</v>
      </c>
    </row>
    <row r="27" spans="1:7" x14ac:dyDescent="0.3">
      <c r="A27" s="25" t="s">
        <v>1048</v>
      </c>
      <c r="B27" s="21">
        <v>136</v>
      </c>
      <c r="C27" s="21">
        <v>136</v>
      </c>
      <c r="F27" s="25" t="s">
        <v>1066</v>
      </c>
      <c r="G27" s="21">
        <v>153</v>
      </c>
    </row>
    <row r="28" spans="1:7" x14ac:dyDescent="0.3">
      <c r="A28" s="25" t="s">
        <v>1051</v>
      </c>
      <c r="B28" s="21">
        <v>83</v>
      </c>
      <c r="C28" s="21">
        <v>83</v>
      </c>
      <c r="F28" s="25" t="s">
        <v>1064</v>
      </c>
      <c r="G28" s="21">
        <v>128</v>
      </c>
    </row>
    <row r="29" spans="1:7" x14ac:dyDescent="0.3">
      <c r="A29" s="25" t="s">
        <v>1056</v>
      </c>
      <c r="B29" s="21">
        <v>67</v>
      </c>
      <c r="C29" s="21">
        <v>67</v>
      </c>
      <c r="F29" s="25" t="s">
        <v>1060</v>
      </c>
      <c r="G29" s="21">
        <v>141</v>
      </c>
    </row>
    <row r="30" spans="1:7" x14ac:dyDescent="0.3">
      <c r="A30" s="25" t="s">
        <v>1058</v>
      </c>
      <c r="B30" s="21">
        <v>64</v>
      </c>
      <c r="C30" s="21">
        <v>64</v>
      </c>
      <c r="F30" s="25" t="s">
        <v>1062</v>
      </c>
      <c r="G30" s="21">
        <v>161</v>
      </c>
    </row>
    <row r="31" spans="1:7" x14ac:dyDescent="0.3">
      <c r="A31" s="25" t="s">
        <v>1049</v>
      </c>
      <c r="B31" s="21">
        <v>50</v>
      </c>
      <c r="C31" s="21">
        <v>50</v>
      </c>
      <c r="F31" s="25" t="s">
        <v>1046</v>
      </c>
      <c r="G31" s="21">
        <v>1000</v>
      </c>
    </row>
    <row r="32" spans="1:7" x14ac:dyDescent="0.3">
      <c r="A32" s="25" t="s">
        <v>1047</v>
      </c>
      <c r="B32" s="21">
        <v>76</v>
      </c>
      <c r="C32" s="21">
        <v>76</v>
      </c>
    </row>
    <row r="33" spans="1:3" x14ac:dyDescent="0.3">
      <c r="A33" s="25" t="s">
        <v>1055</v>
      </c>
      <c r="B33" s="21">
        <v>114</v>
      </c>
      <c r="C33" s="21">
        <v>114</v>
      </c>
    </row>
    <row r="34" spans="1:3" x14ac:dyDescent="0.3">
      <c r="A34" s="25" t="s">
        <v>1053</v>
      </c>
      <c r="B34" s="21">
        <v>57</v>
      </c>
      <c r="C34" s="21">
        <v>57</v>
      </c>
    </row>
    <row r="35" spans="1:3" x14ac:dyDescent="0.3">
      <c r="A35" s="25" t="s">
        <v>1052</v>
      </c>
      <c r="B35" s="21">
        <v>53</v>
      </c>
      <c r="C35" s="21">
        <v>53</v>
      </c>
    </row>
    <row r="36" spans="1:3" x14ac:dyDescent="0.3">
      <c r="A36" s="25" t="s">
        <v>1046</v>
      </c>
      <c r="B36" s="21">
        <v>1000</v>
      </c>
      <c r="C36" s="21">
        <v>1000</v>
      </c>
    </row>
    <row r="49" spans="1:10" x14ac:dyDescent="0.3">
      <c r="E49" t="s">
        <v>1067</v>
      </c>
      <c r="I49" t="s">
        <v>1068</v>
      </c>
      <c r="J49" t="str">
        <f>A62</f>
        <v>R01</v>
      </c>
    </row>
    <row r="50" spans="1:10" x14ac:dyDescent="0.3">
      <c r="A50" s="24" t="s">
        <v>1045</v>
      </c>
      <c r="B50" t="s">
        <v>1040</v>
      </c>
      <c r="C50" t="s">
        <v>1041</v>
      </c>
      <c r="E50" t="s">
        <v>1073</v>
      </c>
      <c r="F50" t="s">
        <v>1072</v>
      </c>
      <c r="G50" t="s">
        <v>1071</v>
      </c>
      <c r="H50" t="s">
        <v>1069</v>
      </c>
      <c r="I50" t="s">
        <v>1070</v>
      </c>
    </row>
    <row r="51" spans="1:10" x14ac:dyDescent="0.3">
      <c r="A51" s="25" t="s">
        <v>11</v>
      </c>
      <c r="B51" s="21">
        <v>189</v>
      </c>
      <c r="C51" s="22">
        <v>18415</v>
      </c>
      <c r="E51" t="str">
        <f>A51</f>
        <v>R01</v>
      </c>
      <c r="F51">
        <f t="shared" ref="F51:G55" si="0">B51</f>
        <v>189</v>
      </c>
      <c r="G51" s="26">
        <f t="shared" si="0"/>
        <v>18415</v>
      </c>
      <c r="H51">
        <f>IF(E51=$J$49,F51,NA())</f>
        <v>189</v>
      </c>
      <c r="I51">
        <f>IF(E51=$J$49,G51,NA())</f>
        <v>18415</v>
      </c>
    </row>
    <row r="52" spans="1:10" x14ac:dyDescent="0.3">
      <c r="A52" s="25" t="s">
        <v>9</v>
      </c>
      <c r="B52" s="21">
        <v>218</v>
      </c>
      <c r="C52" s="22">
        <v>20581</v>
      </c>
      <c r="E52" t="str">
        <f t="shared" ref="E52:E55" si="1">A52</f>
        <v>R02</v>
      </c>
      <c r="F52">
        <f t="shared" si="0"/>
        <v>218</v>
      </c>
      <c r="G52" s="26">
        <f t="shared" si="0"/>
        <v>20581</v>
      </c>
      <c r="H52" t="e">
        <f t="shared" ref="H52:H55" si="2">IF(E52=$J$49,F52,NA())</f>
        <v>#N/A</v>
      </c>
      <c r="I52" t="e">
        <f t="shared" ref="I52:I55" si="3">IF(E52=$J$49,G52,NA())</f>
        <v>#N/A</v>
      </c>
    </row>
    <row r="53" spans="1:10" x14ac:dyDescent="0.3">
      <c r="A53" s="25" t="s">
        <v>6</v>
      </c>
      <c r="B53" s="21">
        <v>207</v>
      </c>
      <c r="C53" s="22">
        <v>20872</v>
      </c>
      <c r="E53" t="str">
        <f t="shared" si="1"/>
        <v>R03</v>
      </c>
      <c r="F53">
        <f t="shared" si="0"/>
        <v>207</v>
      </c>
      <c r="G53" s="26">
        <f t="shared" si="0"/>
        <v>20872</v>
      </c>
      <c r="H53" t="e">
        <f t="shared" si="2"/>
        <v>#N/A</v>
      </c>
      <c r="I53" t="e">
        <f t="shared" si="3"/>
        <v>#N/A</v>
      </c>
    </row>
    <row r="54" spans="1:10" x14ac:dyDescent="0.3">
      <c r="A54" s="25" t="s">
        <v>13</v>
      </c>
      <c r="B54" s="21">
        <v>186</v>
      </c>
      <c r="C54" s="22">
        <v>16651</v>
      </c>
      <c r="E54" t="str">
        <f t="shared" si="1"/>
        <v>R04</v>
      </c>
      <c r="F54">
        <f t="shared" si="0"/>
        <v>186</v>
      </c>
      <c r="G54" s="26">
        <f t="shared" si="0"/>
        <v>16651</v>
      </c>
      <c r="H54" t="e">
        <f t="shared" si="2"/>
        <v>#N/A</v>
      </c>
      <c r="I54" t="e">
        <f t="shared" si="3"/>
        <v>#N/A</v>
      </c>
    </row>
    <row r="55" spans="1:10" x14ac:dyDescent="0.3">
      <c r="A55" s="25" t="s">
        <v>10</v>
      </c>
      <c r="B55" s="21">
        <v>200</v>
      </c>
      <c r="C55" s="22">
        <v>20104</v>
      </c>
      <c r="E55" t="str">
        <f t="shared" si="1"/>
        <v>R05</v>
      </c>
      <c r="F55">
        <f t="shared" si="0"/>
        <v>200</v>
      </c>
      <c r="G55" s="26">
        <f t="shared" si="0"/>
        <v>20104</v>
      </c>
      <c r="H55" t="e">
        <f t="shared" si="2"/>
        <v>#N/A</v>
      </c>
      <c r="I55" t="e">
        <f t="shared" si="3"/>
        <v>#N/A</v>
      </c>
    </row>
    <row r="56" spans="1:10" x14ac:dyDescent="0.3">
      <c r="A56" s="25" t="s">
        <v>1046</v>
      </c>
      <c r="B56" s="21">
        <v>1000</v>
      </c>
      <c r="C56" s="22">
        <v>96623</v>
      </c>
    </row>
    <row r="61" spans="1:10" x14ac:dyDescent="0.3">
      <c r="A61" s="24" t="s">
        <v>1045</v>
      </c>
      <c r="D61" s="24" t="s">
        <v>1040</v>
      </c>
      <c r="E61" s="24" t="s">
        <v>1074</v>
      </c>
    </row>
    <row r="62" spans="1:10" x14ac:dyDescent="0.3">
      <c r="A62" s="27" t="s">
        <v>11</v>
      </c>
      <c r="D62" s="24" t="s">
        <v>1045</v>
      </c>
      <c r="E62" t="s">
        <v>999</v>
      </c>
      <c r="F62" t="s">
        <v>998</v>
      </c>
      <c r="G62" t="s">
        <v>1046</v>
      </c>
    </row>
    <row r="63" spans="1:10" x14ac:dyDescent="0.3">
      <c r="A63" s="27" t="s">
        <v>9</v>
      </c>
      <c r="D63" s="25" t="s">
        <v>1002</v>
      </c>
      <c r="E63" s="21">
        <v>144</v>
      </c>
      <c r="F63" s="21">
        <v>132</v>
      </c>
      <c r="G63" s="21">
        <v>276</v>
      </c>
    </row>
    <row r="64" spans="1:10" x14ac:dyDescent="0.3">
      <c r="A64" s="27" t="s">
        <v>6</v>
      </c>
      <c r="D64" s="25" t="s">
        <v>1001</v>
      </c>
      <c r="E64" s="21">
        <v>326</v>
      </c>
      <c r="F64" s="21">
        <v>63</v>
      </c>
      <c r="G64" s="21">
        <v>389</v>
      </c>
    </row>
    <row r="65" spans="1:7" x14ac:dyDescent="0.3">
      <c r="A65" s="27" t="s">
        <v>13</v>
      </c>
      <c r="D65" s="25" t="s">
        <v>1000</v>
      </c>
      <c r="E65" s="21">
        <v>129</v>
      </c>
      <c r="F65" s="21">
        <v>206</v>
      </c>
      <c r="G65" s="21">
        <v>335</v>
      </c>
    </row>
    <row r="66" spans="1:7" x14ac:dyDescent="0.3">
      <c r="A66" s="27" t="s">
        <v>10</v>
      </c>
      <c r="D66" s="25" t="s">
        <v>1046</v>
      </c>
      <c r="E66" s="21">
        <v>599</v>
      </c>
      <c r="F66" s="21">
        <v>401</v>
      </c>
      <c r="G66" s="21">
        <v>1000</v>
      </c>
    </row>
    <row r="67" spans="1:7" x14ac:dyDescent="0.3">
      <c r="A67" s="25" t="s">
        <v>1046</v>
      </c>
    </row>
    <row r="70" spans="1:7" x14ac:dyDescent="0.3">
      <c r="B70" s="24" t="s">
        <v>1045</v>
      </c>
      <c r="C70" t="s">
        <v>1040</v>
      </c>
    </row>
    <row r="71" spans="1:7" x14ac:dyDescent="0.3">
      <c r="B71" s="25">
        <v>0</v>
      </c>
      <c r="C71" s="21">
        <v>1</v>
      </c>
    </row>
    <row r="72" spans="1:7" x14ac:dyDescent="0.3">
      <c r="B72" s="25">
        <v>1</v>
      </c>
      <c r="C72" s="21">
        <v>8</v>
      </c>
    </row>
    <row r="73" spans="1:7" x14ac:dyDescent="0.3">
      <c r="B73" s="25">
        <v>2</v>
      </c>
      <c r="C73" s="21">
        <v>59</v>
      </c>
    </row>
    <row r="74" spans="1:7" x14ac:dyDescent="0.3">
      <c r="B74" s="25">
        <v>3</v>
      </c>
      <c r="C74" s="21">
        <v>197</v>
      </c>
    </row>
    <row r="75" spans="1:7" x14ac:dyDescent="0.3">
      <c r="B75" s="25">
        <v>4</v>
      </c>
      <c r="C75" s="21">
        <v>428</v>
      </c>
    </row>
    <row r="76" spans="1:7" x14ac:dyDescent="0.3">
      <c r="B76" s="25">
        <v>5</v>
      </c>
      <c r="C76" s="21">
        <v>307</v>
      </c>
    </row>
    <row r="77" spans="1:7" x14ac:dyDescent="0.3">
      <c r="B77" s="25" t="s">
        <v>1046</v>
      </c>
      <c r="C77" s="21">
        <v>1000</v>
      </c>
    </row>
    <row r="81" spans="2:8" x14ac:dyDescent="0.3">
      <c r="B81" s="24" t="s">
        <v>1041</v>
      </c>
      <c r="C81" s="24" t="s">
        <v>1074</v>
      </c>
    </row>
    <row r="82" spans="2:8" x14ac:dyDescent="0.3">
      <c r="B82" s="24" t="s">
        <v>1045</v>
      </c>
      <c r="C82" t="s">
        <v>11</v>
      </c>
      <c r="D82" t="s">
        <v>9</v>
      </c>
      <c r="E82" t="s">
        <v>6</v>
      </c>
      <c r="F82" t="s">
        <v>13</v>
      </c>
      <c r="G82" t="s">
        <v>10</v>
      </c>
      <c r="H82" t="s">
        <v>1046</v>
      </c>
    </row>
    <row r="83" spans="2:8" x14ac:dyDescent="0.3">
      <c r="B83" s="25" t="s">
        <v>1002</v>
      </c>
      <c r="C83" s="36"/>
      <c r="D83" s="36"/>
      <c r="E83" s="36"/>
      <c r="F83" s="36"/>
      <c r="G83" s="36"/>
      <c r="H83" s="36"/>
    </row>
    <row r="84" spans="2:8" x14ac:dyDescent="0.3">
      <c r="B84" s="28" t="s">
        <v>20</v>
      </c>
      <c r="C84" s="22">
        <v>891</v>
      </c>
      <c r="D84" s="22">
        <v>1332</v>
      </c>
      <c r="E84" s="22">
        <v>1282</v>
      </c>
      <c r="F84" s="22">
        <v>739</v>
      </c>
      <c r="G84" s="22">
        <v>560</v>
      </c>
      <c r="H84" s="22">
        <v>4804</v>
      </c>
    </row>
    <row r="85" spans="2:8" x14ac:dyDescent="0.3">
      <c r="B85" s="28" t="s">
        <v>12</v>
      </c>
      <c r="C85" s="22">
        <v>1991</v>
      </c>
      <c r="D85" s="22">
        <v>1886</v>
      </c>
      <c r="E85" s="22">
        <v>1206</v>
      </c>
      <c r="F85" s="22">
        <v>884</v>
      </c>
      <c r="G85" s="22">
        <v>1722</v>
      </c>
      <c r="H85" s="22">
        <v>7689</v>
      </c>
    </row>
    <row r="86" spans="2:8" x14ac:dyDescent="0.3">
      <c r="B86" s="28" t="s">
        <v>8</v>
      </c>
      <c r="C86" s="22">
        <v>1163</v>
      </c>
      <c r="D86" s="22">
        <v>1180</v>
      </c>
      <c r="E86" s="22">
        <v>1616</v>
      </c>
      <c r="F86" s="22">
        <v>1043</v>
      </c>
      <c r="G86" s="22">
        <v>1747</v>
      </c>
      <c r="H86" s="22">
        <v>6749</v>
      </c>
    </row>
    <row r="87" spans="2:8" x14ac:dyDescent="0.3">
      <c r="B87" s="28" t="s">
        <v>16</v>
      </c>
      <c r="C87" s="22">
        <v>1438</v>
      </c>
      <c r="D87" s="22">
        <v>1616</v>
      </c>
      <c r="E87" s="22">
        <v>866</v>
      </c>
      <c r="F87" s="22">
        <v>829</v>
      </c>
      <c r="G87" s="22">
        <v>2070</v>
      </c>
      <c r="H87" s="22">
        <v>6819</v>
      </c>
    </row>
    <row r="88" spans="2:8" x14ac:dyDescent="0.3">
      <c r="B88" s="25" t="s">
        <v>1001</v>
      </c>
      <c r="C88" s="36"/>
      <c r="D88" s="36"/>
      <c r="E88" s="36"/>
      <c r="F88" s="36"/>
      <c r="G88" s="36"/>
      <c r="H88" s="36"/>
    </row>
    <row r="89" spans="2:8" x14ac:dyDescent="0.3">
      <c r="B89" s="28" t="s">
        <v>24</v>
      </c>
      <c r="C89" s="22">
        <v>1233</v>
      </c>
      <c r="D89" s="22">
        <v>223</v>
      </c>
      <c r="E89" s="22">
        <v>1680</v>
      </c>
      <c r="F89" s="22">
        <v>990</v>
      </c>
      <c r="G89" s="22">
        <v>1508</v>
      </c>
      <c r="H89" s="22">
        <v>5634</v>
      </c>
    </row>
    <row r="90" spans="2:8" x14ac:dyDescent="0.3">
      <c r="B90" s="28" t="s">
        <v>15</v>
      </c>
      <c r="C90" s="22">
        <v>1598</v>
      </c>
      <c r="D90" s="22">
        <v>1907</v>
      </c>
      <c r="E90" s="22">
        <v>869</v>
      </c>
      <c r="F90" s="22">
        <v>1426</v>
      </c>
      <c r="G90" s="22">
        <v>1416</v>
      </c>
      <c r="H90" s="22">
        <v>7216</v>
      </c>
    </row>
    <row r="91" spans="2:8" x14ac:dyDescent="0.3">
      <c r="B91" s="28" t="s">
        <v>5</v>
      </c>
      <c r="C91" s="22">
        <v>900</v>
      </c>
      <c r="D91" s="22">
        <v>1016</v>
      </c>
      <c r="E91" s="22">
        <v>960</v>
      </c>
      <c r="F91" s="22">
        <v>940</v>
      </c>
      <c r="G91" s="22">
        <v>1193</v>
      </c>
      <c r="H91" s="22">
        <v>5009</v>
      </c>
    </row>
    <row r="92" spans="2:8" x14ac:dyDescent="0.3">
      <c r="B92" s="28" t="s">
        <v>18</v>
      </c>
      <c r="C92" s="22">
        <v>900</v>
      </c>
      <c r="D92" s="22">
        <v>1470</v>
      </c>
      <c r="E92" s="22">
        <v>1617</v>
      </c>
      <c r="F92" s="22">
        <v>1314</v>
      </c>
      <c r="G92" s="22">
        <v>941</v>
      </c>
      <c r="H92" s="22">
        <v>6242</v>
      </c>
    </row>
    <row r="93" spans="2:8" x14ac:dyDescent="0.3">
      <c r="B93" s="28" t="s">
        <v>14</v>
      </c>
      <c r="C93" s="22">
        <v>1255</v>
      </c>
      <c r="D93" s="22">
        <v>516</v>
      </c>
      <c r="E93" s="22">
        <v>1874</v>
      </c>
      <c r="F93" s="22">
        <v>1863</v>
      </c>
      <c r="G93" s="22">
        <v>1722</v>
      </c>
      <c r="H93" s="22">
        <v>7230</v>
      </c>
    </row>
    <row r="94" spans="2:8" x14ac:dyDescent="0.3">
      <c r="B94" s="28" t="s">
        <v>19</v>
      </c>
      <c r="C94" s="22">
        <v>1138</v>
      </c>
      <c r="D94" s="22">
        <v>1898</v>
      </c>
      <c r="E94" s="22">
        <v>1482</v>
      </c>
      <c r="F94" s="22">
        <v>846</v>
      </c>
      <c r="G94" s="22">
        <v>1154</v>
      </c>
      <c r="H94" s="22">
        <v>6518</v>
      </c>
    </row>
    <row r="95" spans="2:8" x14ac:dyDescent="0.3">
      <c r="B95" s="25" t="s">
        <v>1000</v>
      </c>
      <c r="C95" s="36"/>
      <c r="D95" s="36"/>
      <c r="E95" s="36"/>
      <c r="F95" s="36"/>
      <c r="G95" s="36"/>
      <c r="H95" s="36"/>
    </row>
    <row r="96" spans="2:8" x14ac:dyDescent="0.3">
      <c r="B96" s="28" t="s">
        <v>17</v>
      </c>
      <c r="C96" s="22">
        <v>1655</v>
      </c>
      <c r="D96" s="22">
        <v>805</v>
      </c>
      <c r="E96" s="22">
        <v>2263</v>
      </c>
      <c r="F96" s="22">
        <v>987</v>
      </c>
      <c r="G96" s="22">
        <v>1075</v>
      </c>
      <c r="H96" s="22">
        <v>6785</v>
      </c>
    </row>
    <row r="97" spans="2:8" x14ac:dyDescent="0.3">
      <c r="B97" s="28" t="s">
        <v>23</v>
      </c>
      <c r="C97" s="22">
        <v>1104</v>
      </c>
      <c r="D97" s="22">
        <v>2280</v>
      </c>
      <c r="E97" s="22">
        <v>1445</v>
      </c>
      <c r="F97" s="22">
        <v>1722</v>
      </c>
      <c r="G97" s="22">
        <v>1196</v>
      </c>
      <c r="H97" s="22">
        <v>7747</v>
      </c>
    </row>
    <row r="98" spans="2:8" x14ac:dyDescent="0.3">
      <c r="B98" s="28" t="s">
        <v>7</v>
      </c>
      <c r="C98" s="22">
        <v>372</v>
      </c>
      <c r="D98" s="22">
        <v>1818</v>
      </c>
      <c r="E98" s="22">
        <v>1346</v>
      </c>
      <c r="F98" s="22">
        <v>1156</v>
      </c>
      <c r="G98" s="22">
        <v>1484</v>
      </c>
      <c r="H98" s="22">
        <v>6176</v>
      </c>
    </row>
    <row r="99" spans="2:8" x14ac:dyDescent="0.3">
      <c r="B99" s="28" t="s">
        <v>22</v>
      </c>
      <c r="C99" s="22">
        <v>1415</v>
      </c>
      <c r="D99" s="22">
        <v>1271</v>
      </c>
      <c r="E99" s="22">
        <v>1214</v>
      </c>
      <c r="F99" s="22">
        <v>1135</v>
      </c>
      <c r="G99" s="22">
        <v>1566</v>
      </c>
      <c r="H99" s="22">
        <v>6601</v>
      </c>
    </row>
    <row r="100" spans="2:8" x14ac:dyDescent="0.3">
      <c r="B100" s="28" t="s">
        <v>21</v>
      </c>
      <c r="C100" s="22">
        <v>1362</v>
      </c>
      <c r="D100" s="22">
        <v>1363</v>
      </c>
      <c r="E100" s="22">
        <v>1152</v>
      </c>
      <c r="F100" s="22">
        <v>777</v>
      </c>
      <c r="G100" s="22">
        <v>750</v>
      </c>
      <c r="H100"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DA5A3-D69F-4BC4-8C04-37C363FC6142}">
  <dimension ref="A1:AE47"/>
  <sheetViews>
    <sheetView zoomScale="101" zoomScaleNormal="138" workbookViewId="0">
      <selection activeCell="R37" sqref="R37"/>
    </sheetView>
  </sheetViews>
  <sheetFormatPr defaultRowHeight="14.4" x14ac:dyDescent="0.3"/>
  <cols>
    <col min="1" max="1" width="2.6640625" customWidth="1"/>
    <col min="2" max="2" width="2.5546875" customWidth="1"/>
    <col min="3" max="3" width="9.88671875" customWidth="1"/>
  </cols>
  <sheetData>
    <row r="1" spans="1:31" ht="36.6" customHeight="1" x14ac:dyDescent="0.6">
      <c r="A1" s="20"/>
      <c r="B1" s="20"/>
      <c r="C1" s="35" t="s">
        <v>1077</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31" ht="3" customHeight="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spans="1:31"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1"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1"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1"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1"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row>
    <row r="9" spans="1:31"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spans="1:31"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row>
    <row r="11" spans="1:31"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spans="1:31"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row>
    <row r="13" spans="1:31"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row>
    <row r="14" spans="1:31"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row>
    <row r="15" spans="1:31"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row>
    <row r="16" spans="1:31"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row>
    <row r="17" spans="1:31" x14ac:dyDescent="0.3">
      <c r="A17" s="20"/>
      <c r="B17" s="20"/>
      <c r="C17" s="20"/>
      <c r="D17" s="20"/>
      <c r="E17" s="20"/>
      <c r="F17" s="20"/>
      <c r="G17" s="20"/>
      <c r="H17" s="20"/>
      <c r="I17" s="20"/>
      <c r="J17" s="20"/>
      <c r="K17" s="20"/>
      <c r="L17" s="20"/>
      <c r="M17" s="20"/>
      <c r="N17" s="20"/>
      <c r="O17" s="20"/>
      <c r="P17" s="20"/>
      <c r="Q17" s="20"/>
      <c r="R17" s="31"/>
      <c r="S17" s="33" t="str" cm="1">
        <f t="array" ref="S17:W17">Pivots!C82:G82</f>
        <v>R01</v>
      </c>
      <c r="T17" s="33" t="str">
        <v>R02</v>
      </c>
      <c r="U17" s="33" t="str">
        <v>R03</v>
      </c>
      <c r="V17" s="33" t="str">
        <v>R04</v>
      </c>
      <c r="W17" s="33" t="str">
        <v>R05</v>
      </c>
      <c r="X17" s="33" t="s">
        <v>1075</v>
      </c>
      <c r="Y17" s="20"/>
      <c r="Z17" s="20"/>
      <c r="AA17" s="20"/>
      <c r="AB17" s="20"/>
      <c r="AC17" s="20"/>
      <c r="AD17" s="20"/>
      <c r="AE17" s="20"/>
    </row>
    <row r="18" spans="1:31" x14ac:dyDescent="0.3">
      <c r="A18" s="20"/>
      <c r="B18" s="20"/>
      <c r="C18" s="20"/>
      <c r="D18" s="20"/>
      <c r="E18" s="20"/>
      <c r="F18" s="20"/>
      <c r="G18" s="20"/>
      <c r="H18" s="20"/>
      <c r="I18" s="20"/>
      <c r="J18" s="20"/>
      <c r="K18" s="20"/>
      <c r="L18" s="20"/>
      <c r="M18" s="20"/>
      <c r="N18" s="20"/>
      <c r="O18" s="20"/>
      <c r="P18" s="20"/>
      <c r="Q18" s="20"/>
      <c r="R18" s="34" t="str" cm="1">
        <f t="array" ref="R18:X35">IF(Pivots!B83:H100 = "","",Pivots!B83:H100 )</f>
        <v>Cincinnati</v>
      </c>
      <c r="S18" s="29" t="str">
        <v/>
      </c>
      <c r="T18" s="29" t="str">
        <v/>
      </c>
      <c r="U18" s="29" t="str">
        <v/>
      </c>
      <c r="V18" s="29" t="str">
        <v/>
      </c>
      <c r="W18" s="29" t="str">
        <v/>
      </c>
      <c r="X18" s="29" t="str">
        <v/>
      </c>
      <c r="Y18" s="20"/>
      <c r="Z18" s="20"/>
      <c r="AA18" s="20"/>
      <c r="AB18" s="20"/>
      <c r="AC18" s="20"/>
      <c r="AD18" s="20"/>
      <c r="AE18" s="20"/>
    </row>
    <row r="19" spans="1:31" x14ac:dyDescent="0.3">
      <c r="A19" s="20"/>
      <c r="B19" s="20"/>
      <c r="C19" s="20"/>
      <c r="D19" s="20"/>
      <c r="E19" s="20"/>
      <c r="F19" s="20"/>
      <c r="G19" s="20"/>
      <c r="H19" s="20"/>
      <c r="I19" s="20"/>
      <c r="J19" s="20"/>
      <c r="K19" s="20"/>
      <c r="L19" s="20"/>
      <c r="M19" s="20"/>
      <c r="N19" s="20"/>
      <c r="O19" s="20"/>
      <c r="P19" s="20"/>
      <c r="Q19" s="20"/>
      <c r="R19" s="32" t="str">
        <v>C0003</v>
      </c>
      <c r="S19" s="30">
        <v>891</v>
      </c>
      <c r="T19" s="30">
        <v>1332</v>
      </c>
      <c r="U19" s="30">
        <v>1282</v>
      </c>
      <c r="V19" s="30">
        <v>739</v>
      </c>
      <c r="W19" s="30">
        <v>560</v>
      </c>
      <c r="X19" s="30">
        <v>4804</v>
      </c>
      <c r="Y19" s="20"/>
      <c r="Z19" s="20"/>
      <c r="AA19" s="20"/>
      <c r="AB19" s="20"/>
      <c r="AC19" s="20"/>
      <c r="AD19" s="20"/>
      <c r="AE19" s="20"/>
    </row>
    <row r="20" spans="1:31" x14ac:dyDescent="0.3">
      <c r="A20" s="20"/>
      <c r="B20" s="20"/>
      <c r="C20" s="20"/>
      <c r="D20" s="20"/>
      <c r="E20" s="20"/>
      <c r="F20" s="20"/>
      <c r="G20" s="20"/>
      <c r="H20" s="20"/>
      <c r="I20" s="20"/>
      <c r="J20" s="20"/>
      <c r="K20" s="20"/>
      <c r="L20" s="20"/>
      <c r="M20" s="20"/>
      <c r="N20" s="20"/>
      <c r="O20" s="20"/>
      <c r="P20" s="20"/>
      <c r="Q20" s="20"/>
      <c r="R20" s="32" t="str">
        <v>C0004</v>
      </c>
      <c r="S20" s="30">
        <v>1991</v>
      </c>
      <c r="T20" s="30">
        <v>1886</v>
      </c>
      <c r="U20" s="30">
        <v>1206</v>
      </c>
      <c r="V20" s="30">
        <v>884</v>
      </c>
      <c r="W20" s="30">
        <v>1722</v>
      </c>
      <c r="X20" s="30">
        <v>7689</v>
      </c>
      <c r="Y20" s="20"/>
      <c r="Z20" s="20"/>
      <c r="AA20" s="20"/>
      <c r="AB20" s="20"/>
      <c r="AC20" s="20"/>
      <c r="AD20" s="20"/>
      <c r="AE20" s="20"/>
    </row>
    <row r="21" spans="1:31" x14ac:dyDescent="0.3">
      <c r="A21" s="20"/>
      <c r="B21" s="20"/>
      <c r="C21" s="20"/>
      <c r="D21" s="20"/>
      <c r="E21" s="20"/>
      <c r="F21" s="20"/>
      <c r="G21" s="20"/>
      <c r="H21" s="20"/>
      <c r="I21" s="20"/>
      <c r="J21" s="20"/>
      <c r="K21" s="20"/>
      <c r="L21" s="20"/>
      <c r="M21" s="20"/>
      <c r="N21" s="20"/>
      <c r="O21" s="20"/>
      <c r="P21" s="20"/>
      <c r="Q21" s="20"/>
      <c r="R21" s="32" t="str">
        <v>C0011</v>
      </c>
      <c r="S21" s="30">
        <v>1163</v>
      </c>
      <c r="T21" s="30">
        <v>1180</v>
      </c>
      <c r="U21" s="30">
        <v>1616</v>
      </c>
      <c r="V21" s="30">
        <v>1043</v>
      </c>
      <c r="W21" s="30">
        <v>1747</v>
      </c>
      <c r="X21" s="30">
        <v>6749</v>
      </c>
      <c r="Y21" s="20"/>
      <c r="Z21" s="20"/>
      <c r="AA21" s="20"/>
      <c r="AB21" s="20"/>
      <c r="AC21" s="20"/>
      <c r="AD21" s="20"/>
      <c r="AE21" s="20"/>
    </row>
    <row r="22" spans="1:31" x14ac:dyDescent="0.3">
      <c r="A22" s="20"/>
      <c r="B22" s="20"/>
      <c r="C22" s="20"/>
      <c r="D22" s="20"/>
      <c r="E22" s="20"/>
      <c r="F22" s="20"/>
      <c r="G22" s="20"/>
      <c r="H22" s="20"/>
      <c r="I22" s="20"/>
      <c r="J22" s="20"/>
      <c r="K22" s="20"/>
      <c r="L22" s="20"/>
      <c r="M22" s="20"/>
      <c r="N22" s="20"/>
      <c r="O22" s="20"/>
      <c r="P22" s="20"/>
      <c r="Q22" s="20"/>
      <c r="R22" s="32" t="str">
        <v>C0012</v>
      </c>
      <c r="S22" s="30">
        <v>1438</v>
      </c>
      <c r="T22" s="30">
        <v>1616</v>
      </c>
      <c r="U22" s="30">
        <v>866</v>
      </c>
      <c r="V22" s="30">
        <v>829</v>
      </c>
      <c r="W22" s="30">
        <v>2070</v>
      </c>
      <c r="X22" s="30">
        <v>6819</v>
      </c>
      <c r="Y22" s="20"/>
      <c r="Z22" s="20"/>
      <c r="AA22" s="20"/>
      <c r="AB22" s="20"/>
      <c r="AC22" s="20"/>
      <c r="AD22" s="20"/>
      <c r="AE22" s="20"/>
    </row>
    <row r="23" spans="1:31" x14ac:dyDescent="0.3">
      <c r="A23" s="20"/>
      <c r="B23" s="20"/>
      <c r="C23" s="20"/>
      <c r="D23" s="20"/>
      <c r="E23" s="20"/>
      <c r="F23" s="20"/>
      <c r="G23" s="20"/>
      <c r="H23" s="20"/>
      <c r="I23" s="20"/>
      <c r="J23" s="20"/>
      <c r="K23" s="20"/>
      <c r="L23" s="20"/>
      <c r="M23" s="20"/>
      <c r="N23" s="20"/>
      <c r="O23" s="20"/>
      <c r="P23" s="20"/>
      <c r="Q23" s="20"/>
      <c r="R23" s="34" t="str">
        <v>Cleveland</v>
      </c>
      <c r="S23" s="30" t="str">
        <v/>
      </c>
      <c r="T23" s="30" t="str">
        <v/>
      </c>
      <c r="U23" s="30" t="str">
        <v/>
      </c>
      <c r="V23" s="30" t="str">
        <v/>
      </c>
      <c r="W23" s="30" t="str">
        <v/>
      </c>
      <c r="X23" s="30" t="str">
        <v/>
      </c>
      <c r="Y23" s="20"/>
      <c r="Z23" s="20"/>
      <c r="AA23" s="20"/>
      <c r="AB23" s="20"/>
      <c r="AC23" s="20"/>
      <c r="AD23" s="20"/>
      <c r="AE23" s="20"/>
    </row>
    <row r="24" spans="1:31" x14ac:dyDescent="0.3">
      <c r="A24" s="20"/>
      <c r="B24" s="20"/>
      <c r="C24" s="20"/>
      <c r="D24" s="20"/>
      <c r="E24" s="20"/>
      <c r="F24" s="20"/>
      <c r="G24" s="20"/>
      <c r="H24" s="20"/>
      <c r="I24" s="20"/>
      <c r="J24" s="20"/>
      <c r="K24" s="20"/>
      <c r="L24" s="20"/>
      <c r="M24" s="20"/>
      <c r="N24" s="20"/>
      <c r="O24" s="20"/>
      <c r="P24" s="20"/>
      <c r="Q24" s="20"/>
      <c r="R24" s="32" t="str">
        <v>C0002</v>
      </c>
      <c r="S24" s="30">
        <v>1233</v>
      </c>
      <c r="T24" s="30">
        <v>223</v>
      </c>
      <c r="U24" s="30">
        <v>1680</v>
      </c>
      <c r="V24" s="30">
        <v>990</v>
      </c>
      <c r="W24" s="30">
        <v>1508</v>
      </c>
      <c r="X24" s="30">
        <v>5634</v>
      </c>
      <c r="Y24" s="20"/>
      <c r="Z24" s="20"/>
      <c r="AA24" s="20"/>
      <c r="AB24" s="20"/>
      <c r="AC24" s="20"/>
      <c r="AD24" s="20"/>
      <c r="AE24" s="20"/>
    </row>
    <row r="25" spans="1:31" x14ac:dyDescent="0.3">
      <c r="A25" s="20"/>
      <c r="B25" s="20"/>
      <c r="C25" s="20"/>
      <c r="D25" s="20"/>
      <c r="E25" s="20"/>
      <c r="F25" s="20"/>
      <c r="G25" s="20"/>
      <c r="H25" s="20"/>
      <c r="I25" s="20"/>
      <c r="J25" s="20"/>
      <c r="K25" s="20"/>
      <c r="L25" s="20"/>
      <c r="M25" s="20"/>
      <c r="N25" s="20"/>
      <c r="O25" s="20"/>
      <c r="P25" s="20"/>
      <c r="Q25" s="20"/>
      <c r="R25" s="32" t="str">
        <v>C0007</v>
      </c>
      <c r="S25" s="30">
        <v>1598</v>
      </c>
      <c r="T25" s="30">
        <v>1907</v>
      </c>
      <c r="U25" s="30">
        <v>869</v>
      </c>
      <c r="V25" s="30">
        <v>1426</v>
      </c>
      <c r="W25" s="30">
        <v>1416</v>
      </c>
      <c r="X25" s="30">
        <v>7216</v>
      </c>
      <c r="Y25" s="20"/>
      <c r="Z25" s="20"/>
      <c r="AA25" s="20"/>
      <c r="AB25" s="20"/>
      <c r="AC25" s="20"/>
      <c r="AD25" s="20"/>
      <c r="AE25" s="20"/>
    </row>
    <row r="26" spans="1:31" x14ac:dyDescent="0.3">
      <c r="A26" s="20"/>
      <c r="B26" s="20"/>
      <c r="C26" s="20"/>
      <c r="D26" s="20"/>
      <c r="E26" s="20"/>
      <c r="F26" s="20"/>
      <c r="G26" s="20"/>
      <c r="H26" s="20"/>
      <c r="I26" s="20"/>
      <c r="J26" s="20"/>
      <c r="K26" s="20"/>
      <c r="L26" s="20"/>
      <c r="M26" s="20"/>
      <c r="N26" s="20"/>
      <c r="O26" s="20"/>
      <c r="P26" s="20"/>
      <c r="Q26" s="20"/>
      <c r="R26" s="32" t="str">
        <v>C0008</v>
      </c>
      <c r="S26" s="30">
        <v>900</v>
      </c>
      <c r="T26" s="30">
        <v>1016</v>
      </c>
      <c r="U26" s="30">
        <v>960</v>
      </c>
      <c r="V26" s="30">
        <v>940</v>
      </c>
      <c r="W26" s="30">
        <v>1193</v>
      </c>
      <c r="X26" s="30">
        <v>5009</v>
      </c>
      <c r="Y26" s="20"/>
      <c r="Z26" s="20"/>
      <c r="AA26" s="20"/>
      <c r="AB26" s="20"/>
      <c r="AC26" s="20"/>
      <c r="AD26" s="20"/>
      <c r="AE26" s="20"/>
    </row>
    <row r="27" spans="1:31" x14ac:dyDescent="0.3">
      <c r="A27" s="20"/>
      <c r="B27" s="20"/>
      <c r="C27" s="20"/>
      <c r="D27" s="20"/>
      <c r="E27" s="20"/>
      <c r="F27" s="20"/>
      <c r="G27" s="20"/>
      <c r="H27" s="20"/>
      <c r="I27" s="20"/>
      <c r="J27" s="20"/>
      <c r="K27" s="20"/>
      <c r="L27" s="20"/>
      <c r="M27" s="20"/>
      <c r="N27" s="20"/>
      <c r="O27" s="20"/>
      <c r="P27" s="20"/>
      <c r="Q27" s="20"/>
      <c r="R27" s="32" t="str">
        <v>C0010</v>
      </c>
      <c r="S27" s="30">
        <v>900</v>
      </c>
      <c r="T27" s="30">
        <v>1470</v>
      </c>
      <c r="U27" s="30">
        <v>1617</v>
      </c>
      <c r="V27" s="30">
        <v>1314</v>
      </c>
      <c r="W27" s="30">
        <v>941</v>
      </c>
      <c r="X27" s="30">
        <v>6242</v>
      </c>
      <c r="Y27" s="20"/>
      <c r="Z27" s="20"/>
      <c r="AA27" s="20"/>
      <c r="AB27" s="20"/>
      <c r="AC27" s="20"/>
      <c r="AD27" s="20"/>
      <c r="AE27" s="20"/>
    </row>
    <row r="28" spans="1:31" x14ac:dyDescent="0.3">
      <c r="A28" s="20"/>
      <c r="B28" s="20"/>
      <c r="C28" s="20"/>
      <c r="D28" s="20"/>
      <c r="E28" s="20"/>
      <c r="F28" s="20"/>
      <c r="G28" s="20"/>
      <c r="H28" s="20"/>
      <c r="I28" s="20"/>
      <c r="J28" s="20"/>
      <c r="K28" s="20"/>
      <c r="L28" s="20"/>
      <c r="M28" s="20"/>
      <c r="N28" s="20"/>
      <c r="O28" s="20"/>
      <c r="P28" s="20"/>
      <c r="Q28" s="20"/>
      <c r="R28" s="32" t="str">
        <v>C0013</v>
      </c>
      <c r="S28" s="30">
        <v>1255</v>
      </c>
      <c r="T28" s="30">
        <v>516</v>
      </c>
      <c r="U28" s="30">
        <v>1874</v>
      </c>
      <c r="V28" s="30">
        <v>1863</v>
      </c>
      <c r="W28" s="30">
        <v>1722</v>
      </c>
      <c r="X28" s="30">
        <v>7230</v>
      </c>
      <c r="Y28" s="20"/>
      <c r="Z28" s="20"/>
      <c r="AA28" s="20"/>
      <c r="AB28" s="20"/>
      <c r="AC28" s="20"/>
      <c r="AD28" s="20"/>
      <c r="AE28" s="20"/>
    </row>
    <row r="29" spans="1:31" x14ac:dyDescent="0.3">
      <c r="A29" s="20"/>
      <c r="B29" s="20"/>
      <c r="C29" s="20"/>
      <c r="D29" s="20"/>
      <c r="E29" s="20"/>
      <c r="F29" s="20"/>
      <c r="G29" s="20"/>
      <c r="H29" s="20"/>
      <c r="I29" s="20"/>
      <c r="J29" s="20"/>
      <c r="K29" s="20"/>
      <c r="L29" s="20"/>
      <c r="M29" s="20"/>
      <c r="N29" s="20"/>
      <c r="O29" s="20"/>
      <c r="P29" s="20"/>
      <c r="Q29" s="20"/>
      <c r="R29" s="32" t="str">
        <v>C0015</v>
      </c>
      <c r="S29" s="30">
        <v>1138</v>
      </c>
      <c r="T29" s="30">
        <v>1898</v>
      </c>
      <c r="U29" s="30">
        <v>1482</v>
      </c>
      <c r="V29" s="30">
        <v>846</v>
      </c>
      <c r="W29" s="30">
        <v>1154</v>
      </c>
      <c r="X29" s="30">
        <v>6518</v>
      </c>
      <c r="Y29" s="20"/>
      <c r="Z29" s="20"/>
      <c r="AA29" s="20"/>
      <c r="AB29" s="20"/>
      <c r="AC29" s="20"/>
      <c r="AD29" s="20"/>
      <c r="AE29" s="20"/>
    </row>
    <row r="30" spans="1:31" x14ac:dyDescent="0.3">
      <c r="A30" s="20"/>
      <c r="B30" s="20"/>
      <c r="C30" s="20"/>
      <c r="D30" s="20"/>
      <c r="E30" s="20"/>
      <c r="F30" s="20"/>
      <c r="G30" s="20"/>
      <c r="H30" s="20"/>
      <c r="I30" s="20"/>
      <c r="J30" s="20"/>
      <c r="K30" s="20"/>
      <c r="L30" s="20"/>
      <c r="M30" s="20"/>
      <c r="N30" s="20"/>
      <c r="O30" s="20"/>
      <c r="P30" s="20"/>
      <c r="Q30" s="20"/>
      <c r="R30" s="34" t="str">
        <v>Columbus</v>
      </c>
      <c r="S30" s="30" t="str">
        <v/>
      </c>
      <c r="T30" s="30" t="str">
        <v/>
      </c>
      <c r="U30" s="30" t="str">
        <v/>
      </c>
      <c r="V30" s="30" t="str">
        <v/>
      </c>
      <c r="W30" s="30" t="str">
        <v/>
      </c>
      <c r="X30" s="30" t="str">
        <v/>
      </c>
      <c r="Y30" s="20"/>
      <c r="Z30" s="20"/>
      <c r="AA30" s="20"/>
      <c r="AB30" s="20"/>
      <c r="AC30" s="20"/>
      <c r="AD30" s="20"/>
      <c r="AE30" s="20"/>
    </row>
    <row r="31" spans="1:31" x14ac:dyDescent="0.3">
      <c r="A31" s="20"/>
      <c r="B31" s="20"/>
      <c r="C31" s="20"/>
      <c r="D31" s="20"/>
      <c r="E31" s="20"/>
      <c r="F31" s="20"/>
      <c r="G31" s="20"/>
      <c r="H31" s="20"/>
      <c r="I31" s="20"/>
      <c r="J31" s="20"/>
      <c r="K31" s="20"/>
      <c r="L31" s="20"/>
      <c r="M31" s="20"/>
      <c r="N31" s="20"/>
      <c r="O31" s="20"/>
      <c r="P31" s="20"/>
      <c r="Q31" s="20"/>
      <c r="R31" s="32" t="str">
        <v>C0001</v>
      </c>
      <c r="S31" s="30">
        <v>1655</v>
      </c>
      <c r="T31" s="30">
        <v>805</v>
      </c>
      <c r="U31" s="30">
        <v>2263</v>
      </c>
      <c r="V31" s="30">
        <v>987</v>
      </c>
      <c r="W31" s="30">
        <v>1075</v>
      </c>
      <c r="X31" s="30">
        <v>6785</v>
      </c>
      <c r="Y31" s="20"/>
      <c r="Z31" s="20"/>
      <c r="AA31" s="20"/>
      <c r="AB31" s="20"/>
      <c r="AC31" s="20"/>
      <c r="AD31" s="20"/>
      <c r="AE31" s="20"/>
    </row>
    <row r="32" spans="1:31" x14ac:dyDescent="0.3">
      <c r="A32" s="20"/>
      <c r="B32" s="20"/>
      <c r="C32" s="20"/>
      <c r="D32" s="20"/>
      <c r="E32" s="20"/>
      <c r="F32" s="20"/>
      <c r="G32" s="20"/>
      <c r="H32" s="20"/>
      <c r="I32" s="20"/>
      <c r="J32" s="20"/>
      <c r="K32" s="20"/>
      <c r="L32" s="20"/>
      <c r="M32" s="20"/>
      <c r="N32" s="20"/>
      <c r="O32" s="20"/>
      <c r="P32" s="20"/>
      <c r="Q32" s="20"/>
      <c r="R32" s="32" t="str">
        <v>C0005</v>
      </c>
      <c r="S32" s="30">
        <v>1104</v>
      </c>
      <c r="T32" s="30">
        <v>2280</v>
      </c>
      <c r="U32" s="30">
        <v>1445</v>
      </c>
      <c r="V32" s="30">
        <v>1722</v>
      </c>
      <c r="W32" s="30">
        <v>1196</v>
      </c>
      <c r="X32" s="30">
        <v>7747</v>
      </c>
      <c r="Y32" s="20"/>
      <c r="Z32" s="20"/>
      <c r="AA32" s="20"/>
      <c r="AB32" s="20"/>
      <c r="AC32" s="20"/>
      <c r="AD32" s="20"/>
      <c r="AE32" s="20"/>
    </row>
    <row r="33" spans="1:31" x14ac:dyDescent="0.3">
      <c r="A33" s="20"/>
      <c r="B33" s="20"/>
      <c r="C33" s="20"/>
      <c r="D33" s="20"/>
      <c r="E33" s="20"/>
      <c r="F33" s="20"/>
      <c r="G33" s="20"/>
      <c r="H33" s="20"/>
      <c r="I33" s="20"/>
      <c r="J33" s="20"/>
      <c r="K33" s="20"/>
      <c r="L33" s="20"/>
      <c r="M33" s="20"/>
      <c r="N33" s="20"/>
      <c r="O33" s="20"/>
      <c r="P33" s="20"/>
      <c r="Q33" s="20"/>
      <c r="R33" s="32" t="str">
        <v>C0006</v>
      </c>
      <c r="S33" s="30">
        <v>372</v>
      </c>
      <c r="T33" s="30">
        <v>1818</v>
      </c>
      <c r="U33" s="30">
        <v>1346</v>
      </c>
      <c r="V33" s="30">
        <v>1156</v>
      </c>
      <c r="W33" s="30">
        <v>1484</v>
      </c>
      <c r="X33" s="30">
        <v>6176</v>
      </c>
      <c r="Y33" s="20"/>
      <c r="Z33" s="20"/>
      <c r="AA33" s="20"/>
      <c r="AB33" s="20"/>
      <c r="AC33" s="20"/>
      <c r="AD33" s="20"/>
      <c r="AE33" s="20"/>
    </row>
    <row r="34" spans="1:31" x14ac:dyDescent="0.3">
      <c r="A34" s="20"/>
      <c r="B34" s="20"/>
      <c r="C34" s="20"/>
      <c r="D34" s="20"/>
      <c r="E34" s="20"/>
      <c r="F34" s="20"/>
      <c r="G34" s="20"/>
      <c r="H34" s="20"/>
      <c r="I34" s="20"/>
      <c r="J34" s="20"/>
      <c r="K34" s="20"/>
      <c r="L34" s="20"/>
      <c r="M34" s="20"/>
      <c r="N34" s="20"/>
      <c r="O34" s="20"/>
      <c r="P34" s="20"/>
      <c r="Q34" s="20"/>
      <c r="R34" s="32" t="str">
        <v>C0009</v>
      </c>
      <c r="S34" s="30">
        <v>1415</v>
      </c>
      <c r="T34" s="30">
        <v>1271</v>
      </c>
      <c r="U34" s="30">
        <v>1214</v>
      </c>
      <c r="V34" s="30">
        <v>1135</v>
      </c>
      <c r="W34" s="30">
        <v>1566</v>
      </c>
      <c r="X34" s="30">
        <v>6601</v>
      </c>
      <c r="Y34" s="20"/>
      <c r="Z34" s="20"/>
      <c r="AA34" s="20"/>
      <c r="AB34" s="20"/>
      <c r="AC34" s="20"/>
      <c r="AD34" s="20"/>
      <c r="AE34" s="20"/>
    </row>
    <row r="35" spans="1:31" x14ac:dyDescent="0.3">
      <c r="A35" s="20"/>
      <c r="B35" s="20"/>
      <c r="C35" s="20"/>
      <c r="D35" s="20"/>
      <c r="E35" s="20"/>
      <c r="F35" s="20"/>
      <c r="G35" s="20"/>
      <c r="H35" s="20"/>
      <c r="I35" s="20"/>
      <c r="J35" s="20"/>
      <c r="K35" s="20"/>
      <c r="L35" s="20"/>
      <c r="M35" s="20"/>
      <c r="N35" s="20"/>
      <c r="O35" s="20"/>
      <c r="P35" s="20"/>
      <c r="Q35" s="20"/>
      <c r="R35" s="32" t="str">
        <v>C0014</v>
      </c>
      <c r="S35" s="30">
        <v>1362</v>
      </c>
      <c r="T35" s="30">
        <v>1363</v>
      </c>
      <c r="U35" s="30">
        <v>1152</v>
      </c>
      <c r="V35" s="30">
        <v>777</v>
      </c>
      <c r="W35" s="30">
        <v>750</v>
      </c>
      <c r="X35" s="30">
        <v>5404</v>
      </c>
      <c r="Y35" s="20"/>
      <c r="Z35" s="20"/>
      <c r="AA35" s="20"/>
      <c r="AB35" s="20"/>
      <c r="AC35" s="20"/>
      <c r="AD35" s="20"/>
      <c r="AE35" s="20"/>
    </row>
    <row r="36" spans="1:31"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row>
    <row r="37" spans="1:31"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row>
    <row r="38" spans="1:31"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row>
    <row r="39" spans="1:31"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row>
    <row r="40" spans="1:31"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1:31" x14ac:dyDescent="0.3">
      <c r="A41" s="20"/>
      <c r="B41" s="20"/>
      <c r="C41" s="20"/>
      <c r="D41" s="20"/>
      <c r="E41" s="20"/>
      <c r="F41" s="20"/>
      <c r="G41" s="20"/>
      <c r="H41" s="20"/>
      <c r="I41" s="20"/>
      <c r="J41" s="20"/>
      <c r="K41" s="20" t="s">
        <v>1076</v>
      </c>
      <c r="L41" s="20"/>
      <c r="M41" s="20"/>
      <c r="N41" s="20"/>
      <c r="O41" s="20"/>
      <c r="P41" s="20"/>
      <c r="Q41" s="20"/>
      <c r="R41" s="20"/>
      <c r="S41" s="20"/>
      <c r="T41" s="20"/>
      <c r="U41" s="20"/>
      <c r="V41" s="20"/>
      <c r="W41" s="20"/>
      <c r="X41" s="20"/>
      <c r="Y41" s="20"/>
      <c r="Z41" s="20"/>
      <c r="AA41" s="20"/>
      <c r="AB41" s="20"/>
      <c r="AC41" s="20"/>
      <c r="AD41" s="20"/>
      <c r="AE41" s="20"/>
    </row>
    <row r="42" spans="1:31"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row>
    <row r="43" spans="1:31"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row>
    <row r="44" spans="1:31"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row>
    <row r="45" spans="1:31"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1:31"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1:31"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sheetData>
  <conditionalFormatting sqref="S19:W35">
    <cfRule type="dataBar" priority="2">
      <dataBar>
        <cfvo type="num" val="0"/>
        <cfvo type="formula" val="MAX($S$19:$W$35)*2"/>
        <color theme="1" tint="0.14999847407452621"/>
      </dataBar>
      <extLst>
        <ext xmlns:x14="http://schemas.microsoft.com/office/spreadsheetml/2009/9/main" uri="{B025F937-C7B1-47D3-B67F-A62EFF666E3E}">
          <x14:id>{505A1B40-8502-4361-B526-4D674068F570}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05A1B40-8502-4361-B526-4D674068F570}">
            <x14:dataBar minLength="0" maxLength="100" gradient="0">
              <x14:cfvo type="num">
                <xm:f>0</xm:f>
              </x14:cfvo>
              <x14:cfvo type="formula">
                <xm:f>MAX($S$19:$W$35)*2</xm:f>
              </x14:cfvo>
              <x14:negativeFillColor rgb="FFFF0000"/>
              <x14:axisColor rgb="FF000000"/>
            </x14:dataBar>
          </x14:cfRule>
          <xm:sqref>S19:W35</xm:sqref>
        </x14:conditionalFormatting>
        <x14:conditionalFormatting xmlns:xm="http://schemas.microsoft.com/office/excel/2006/main">
          <x14:cfRule type="expression" priority="3" id="{0E9B3D36-63A2-4A80-988E-CC3867E60BB6}">
            <xm:f>S$17=Pivots!$A$62</xm:f>
            <x14:dxf>
              <fill>
                <patternFill>
                  <bgColor theme="8" tint="0.59996337778862885"/>
                </patternFill>
              </fill>
              <border>
                <left style="thin">
                  <color rgb="FF333333"/>
                </left>
                <right style="thin">
                  <color rgb="FF333333"/>
                </right>
                <vertical/>
                <horizontal/>
              </border>
            </x14:dxf>
          </x14:cfRule>
          <xm:sqref>S17:W35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 JANVI</cp:lastModifiedBy>
  <dcterms:created xsi:type="dcterms:W3CDTF">2021-03-14T20:21:32Z</dcterms:created>
  <dcterms:modified xsi:type="dcterms:W3CDTF">2026-10-04T08:51:18Z</dcterms:modified>
</cp:coreProperties>
</file>